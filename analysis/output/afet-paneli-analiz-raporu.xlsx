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Gutenberg-Richter" sheetId="2" state="visible" r:id="rId2"/>
    <sheet xmlns:r="http://schemas.openxmlformats.org/officeDocument/2006/relationships" name="GR Eğrisi" sheetId="3" state="visible" r:id="rId3"/>
    <sheet xmlns:r="http://schemas.openxmlformats.org/officeDocument/2006/relationships" name="Göç Analizi" sheetId="4" state="visible" r:id="rId4"/>
    <sheet xmlns:r="http://schemas.openxmlformats.org/officeDocument/2006/relationships" name="Katalog Dağılımı" sheetId="5" state="visible" r:id="rId5"/>
    <sheet xmlns:r="http://schemas.openxmlformats.org/officeDocument/2006/relationships" name="Yönt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"/>
    <numFmt numFmtId="167" formatCode="+0.00;-0.00"/>
    <numFmt numFmtId="168" formatCode="+0.000;-0.000"/>
  </numFmts>
  <fonts count="13">
    <font>
      <name val="Calibri"/>
      <family val="2"/>
      <color theme="1"/>
      <sz val="11"/>
      <scheme val="minor"/>
    </font>
    <font>
      <name val="Arial"/>
      <b val="1"/>
      <color rgb="001E293B"/>
      <sz val="16"/>
    </font>
    <font>
      <name val="Arial"/>
      <i val="1"/>
      <color rgb="0064748B"/>
      <sz val="10"/>
    </font>
    <font>
      <name val="Arial"/>
      <b val="1"/>
      <color rgb="000F766E"/>
      <sz val="10"/>
    </font>
    <font>
      <name val="Arial"/>
      <sz val="10"/>
    </font>
    <font>
      <name val="Arial"/>
      <color rgb="0064748B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94A3B8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92400E"/>
      <sz val="9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  <xf numFmtId="0" fontId="4" fillId="2" borderId="1" pivotButton="0" quotePrefix="0" xfId="0"/>
    <xf numFmtId="164" fontId="4" fillId="2" borderId="1" pivotButton="0" quotePrefix="0" xfId="0"/>
    <xf numFmtId="2" fontId="4" fillId="2" borderId="1" pivotButton="0" quotePrefix="0" xfId="0"/>
    <xf numFmtId="165" fontId="4" fillId="2" borderId="1" pivotButton="0" quotePrefix="0" xfId="0"/>
    <xf numFmtId="3" fontId="4" fillId="2" borderId="1" pivotButton="0" quotePrefix="0" xfId="0"/>
    <xf numFmtId="166" fontId="4" fillId="2" borderId="1" pivotButton="0" quotePrefix="0" xfId="0"/>
    <xf numFmtId="3" fontId="4" fillId="4" borderId="1" pivotButton="0" quotePrefix="0" xfId="0"/>
    <xf numFmtId="0" fontId="11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7" fontId="4" fillId="0" borderId="1" pivotButton="0" quotePrefix="0" xfId="0"/>
    <xf numFmtId="168" fontId="4" fillId="0" borderId="1" pivotButton="0" quotePrefix="0" xfId="0"/>
    <xf numFmtId="165" fontId="4" fillId="4" borderId="1" pivotButton="0" quotePrefix="0" xfId="0"/>
    <xf numFmtId="0" fontId="4" fillId="4" borderId="1" pivotButton="0" quotePrefix="0" xfId="0"/>
    <xf numFmtId="2" fontId="0" fillId="0" borderId="0" pivotButton="0" quotePrefix="0" xfId="0"/>
    <xf numFmtId="0" fontId="12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Bölgelere göre b değeri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'Gutenberg-Richter'!B4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'Gutenberg-Richter'!$A$5:$A$57</f>
            </numRef>
          </cat>
          <val>
            <numRef>
              <f>'Gutenberg-Richter'!$B$5:$B$57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log₁₀(N) = a − b·M</a:t>
            </a:r>
          </a:p>
        </rich>
      </tx>
    </title>
    <plotArea>
      <scatterChart>
        <ser>
          <idx val="0"/>
          <order val="0"/>
          <tx>
            <strRef>
              <f>'GR Eğrisi'!B4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'GR Eğrisi'!$A$5:$A$13</f>
            </numRef>
          </xVal>
          <yVal>
            <numRef>
              <f>'GR Eğrisi'!$B$5:$B$13</f>
            </numRef>
          </yVal>
        </ser>
        <ser>
          <idx val="1"/>
          <order val="1"/>
          <tx>
            <strRef>
              <f>'GR Eğrisi'!C4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'GR Eğrisi'!$A$5:$A$13</f>
            </numRef>
          </xVal>
          <yVal>
            <numRef>
              <f>'GR Eğrisi'!$C$5:$C$13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Büyüklük (M)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log₁₀(N)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R² ve p değeri dağılımı</a:t>
            </a:r>
          </a:p>
        </rich>
      </tx>
    </title>
    <plotArea>
      <scatterChart>
        <ser>
          <idx val="0"/>
          <order val="0"/>
          <tx>
            <strRef>
              <f>'Göç Analizi'!F4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'Göç Analizi'!$H$5:$H$31</f>
            </numRef>
          </xVal>
          <yVal>
            <numRef>
              <f>'Göç Analizi'!$F$5:$F$31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 değeri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Onyıllara göre kayıt sayısı</a:t>
            </a:r>
          </a:p>
        </rich>
      </tx>
    </title>
    <plotArea>
      <lineChart>
        <grouping val="standard"/>
        <ser>
          <idx val="0"/>
          <order val="0"/>
          <tx>
            <strRef>
              <f>'Katalog Dağılımı'!B4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'Katalog Dağılımı'!$A$5:$A$17</f>
            </numRef>
          </cat>
          <val>
            <numRef>
              <f>'Katalog Dağılımı'!$B$5:$B$17</f>
            </numRef>
          </val>
        </ser>
        <ser>
          <idx val="1"/>
          <order val="1"/>
          <tx>
            <strRef>
              <f>'Katalog Dağılımı'!C4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'Katalog Dağılımı'!$A$5:$A$17</f>
            </numRef>
          </cat>
          <val>
            <numRef>
              <f>'Katalog Dağılımı'!$C$5:$C$17</f>
            </numRef>
          </val>
        </ser>
        <ser>
          <idx val="2"/>
          <order val="2"/>
          <tx>
            <strRef>
              <f>'Katalog Dağılımı'!D4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'Katalog Dağılımı'!$A$5:$A$17</f>
            </numRef>
          </cat>
          <val>
            <numRef>
              <f>'Katalog Dağılımı'!$D$5:$D$17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Onyıl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Deprem sayısı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6" customWidth="1" min="3" max="3"/>
  </cols>
  <sheetData>
    <row r="1" ht="24" customHeight="1">
      <c r="A1" s="1" t="inlineStr">
        <is>
          <t>Küresel Doğal Afet İzleme Paneli</t>
        </is>
      </c>
    </row>
    <row r="2">
      <c r="A2" s="2" t="inlineStr">
        <is>
          <t>Analiz raporu · 07.09.2026 19:32</t>
        </is>
      </c>
    </row>
    <row r="4">
      <c r="A4" s="3" t="inlineStr">
        <is>
          <t>VERİ KAYNAĞI</t>
        </is>
      </c>
      <c r="B4" s="4" t="inlineStr"/>
      <c r="C4" s="5" t="inlineStr"/>
    </row>
    <row r="5">
      <c r="A5" s="6" t="inlineStr">
        <is>
          <t>Katalog</t>
        </is>
      </c>
      <c r="B5" s="7" t="inlineStr">
        <is>
          <t>USGS FDSN</t>
        </is>
      </c>
      <c r="C5" s="8" t="inlineStr">
        <is>
          <t>Kamuya açık, anahtar gerektirmez</t>
        </is>
      </c>
    </row>
    <row r="6">
      <c r="A6" s="6" t="inlineStr">
        <is>
          <t>Kapsam</t>
        </is>
      </c>
      <c r="B6" s="7" t="inlineStr">
        <is>
          <t>1900–2026</t>
        </is>
      </c>
      <c r="C6" s="8" t="inlineStr">
        <is>
          <t>Aletsel dönem</t>
        </is>
      </c>
    </row>
    <row r="7">
      <c r="A7" s="6" t="inlineStr">
        <is>
          <t>Büyüklük eşiği</t>
        </is>
      </c>
      <c r="B7" s="7" t="inlineStr">
        <is>
          <t>M4.5+</t>
        </is>
      </c>
      <c r="C7" s="8" t="inlineStr">
        <is>
          <t>Alt eşikte sensör yoğunluğu haritayı çarpıtıyor</t>
        </is>
      </c>
    </row>
    <row r="8">
      <c r="A8" s="6" t="inlineStr">
        <is>
          <t>Toplam deprem</t>
        </is>
      </c>
      <c r="B8" s="9" t="n">
        <v>311622</v>
      </c>
      <c r="C8" s="8" t="inlineStr">
        <is>
          <t>Ham katalog kaydı</t>
        </is>
      </c>
    </row>
    <row r="9">
      <c r="A9" s="10" t="inlineStr"/>
      <c r="B9" s="7" t="inlineStr"/>
      <c r="C9" s="8" t="inlineStr"/>
    </row>
    <row r="10">
      <c r="A10" s="3" t="inlineStr">
        <is>
          <t>ANALİZLER</t>
        </is>
      </c>
      <c r="B10" s="4" t="inlineStr"/>
      <c r="C10" s="5" t="inlineStr"/>
    </row>
    <row r="11">
      <c r="A11" s="6" t="inlineStr">
        <is>
          <t>Gutenberg-Richter</t>
        </is>
      </c>
      <c r="B11" s="7" t="inlineStr">
        <is>
          <t>52 bölge</t>
        </is>
      </c>
      <c r="C11" s="8" t="inlineStr">
        <is>
          <t>log₁₀(N) = a − b·M</t>
        </is>
      </c>
    </row>
    <row r="12">
      <c r="A12" s="6" t="inlineStr">
        <is>
          <t>Göç analizi</t>
        </is>
      </c>
      <c r="B12" s="7" t="inlineStr">
        <is>
          <t>27 fay hattı</t>
        </is>
      </c>
      <c r="C12" s="8" t="inlineStr">
        <is>
          <t>Zaman-mesafe regresyonu</t>
        </is>
      </c>
    </row>
    <row r="13">
      <c r="A13" s="6" t="inlineStr">
        <is>
          <t>Anlamlılık testi</t>
        </is>
      </c>
      <c r="B13" s="7" t="inlineStr">
        <is>
          <t>Permütasyon</t>
        </is>
      </c>
      <c r="C13" s="8" t="inlineStr">
        <is>
          <t>5.000 rastgele karıştırma</t>
        </is>
      </c>
    </row>
    <row r="14">
      <c r="A14" s="6" t="inlineStr">
        <is>
          <t>Çoklu karşılaştırma</t>
        </is>
      </c>
      <c r="B14" s="7" t="inlineStr">
        <is>
          <t>Bonferroni</t>
        </is>
      </c>
      <c r="C14" s="8" t="inlineStr">
        <is>
          <t>α = 0,05 / test sayısı</t>
        </is>
      </c>
    </row>
    <row r="15">
      <c r="A15" s="10" t="inlineStr"/>
      <c r="B15" s="7" t="inlineStr"/>
      <c r="C15" s="8" t="inlineStr"/>
    </row>
    <row r="16">
      <c r="A16" s="3" t="inlineStr">
        <is>
          <t>SINIRLILIKLAR</t>
        </is>
      </c>
      <c r="B16" s="4" t="inlineStr"/>
      <c r="C16" s="5" t="inlineStr"/>
    </row>
    <row r="17">
      <c r="A17" s="6" t="inlineStr">
        <is>
          <t>Tarihsel eksiklik</t>
        </is>
      </c>
      <c r="B17" s="7" t="inlineStr">
        <is>
          <t>1900–1960</t>
        </is>
      </c>
      <c r="C17" s="8" t="inlineStr">
        <is>
          <t>Küçük depremler kayda geçmemiş</t>
        </is>
      </c>
    </row>
    <row r="18">
      <c r="A18" s="6" t="inlineStr">
        <is>
          <t>Konum hassasiyeti</t>
        </is>
      </c>
      <c r="B18" s="7" t="inlineStr">
        <is>
          <t>±25 km</t>
        </is>
      </c>
      <c r="C18" s="8" t="inlineStr">
        <is>
          <t>Eski kayıtlarda daha yüksek belirsizlik</t>
        </is>
      </c>
    </row>
    <row r="19">
      <c r="A19" s="6" t="inlineStr">
        <is>
          <t>Deprem tahmini</t>
        </is>
      </c>
      <c r="B19" s="7" t="inlineStr">
        <is>
          <t>Yapılmaz</t>
        </is>
      </c>
      <c r="C19" s="8" t="inlineStr">
        <is>
          <t>Bilimsel olarak mümkün değildir</t>
        </is>
      </c>
    </row>
    <row r="21">
      <c r="A21" s="11" t="inlineStr">
        <is>
          <t>Bu rapor analiz betiklerinden otomatik üretilmiştir.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  <col width="24" customWidth="1" min="8" max="8"/>
  </cols>
  <sheetData>
    <row r="1" ht="24" customHeight="1">
      <c r="A1" s="1" t="inlineStr">
        <is>
          <t>Gutenberg-Richter b Değerleri</t>
        </is>
      </c>
    </row>
    <row r="2">
      <c r="A2" s="2" t="inlineStr">
        <is>
          <t>Düşük b: kilitli fay, büyük olaylarla boşalma · Yüksek b: küçük olaylarla sızma</t>
        </is>
      </c>
    </row>
    <row r="4" ht="30" customHeight="1">
      <c r="A4" s="12" t="inlineStr">
        <is>
          <t>Bölge</t>
        </is>
      </c>
      <c r="B4" s="12" t="inlineStr">
        <is>
          <t>b değeri</t>
        </is>
      </c>
      <c r="C4" s="12" t="inlineStr">
        <is>
          <t>a değeri</t>
        </is>
      </c>
      <c r="D4" s="12" t="inlineStr">
        <is>
          <t>R²</t>
        </is>
      </c>
      <c r="E4" s="12" t="inlineStr">
        <is>
          <t>Olay sayısı</t>
        </is>
      </c>
      <c r="F4" s="12" t="inlineStr">
        <is>
          <t>Katalog (yıl)</t>
        </is>
      </c>
      <c r="G4" s="12" t="inlineStr">
        <is>
          <t>M7 tekrar (yıl)</t>
        </is>
      </c>
      <c r="H4" s="12" t="inlineStr">
        <is>
          <t>Değerlendirme</t>
        </is>
      </c>
    </row>
    <row r="5">
      <c r="A5" s="13" t="inlineStr">
        <is>
          <t>DÜNYA</t>
        </is>
      </c>
      <c r="B5" s="14" t="n">
        <v>1.0254</v>
      </c>
      <c r="C5" s="15" t="n">
        <v>10.2456</v>
      </c>
      <c r="D5" s="16" t="n">
        <v>0.98792</v>
      </c>
      <c r="E5" s="17" t="n">
        <v>311622</v>
      </c>
      <c r="F5" s="18" t="n">
        <v>126.7</v>
      </c>
      <c r="G5" s="15" t="n">
        <v>0.11</v>
      </c>
      <c r="H5" s="19" t="inlineStr">
        <is>
          <t>Küresel ortalamaya yakın</t>
        </is>
      </c>
    </row>
    <row r="6">
      <c r="A6" s="20" t="inlineStr">
        <is>
          <t>Mongolia</t>
        </is>
      </c>
      <c r="B6" s="21" t="n">
        <v>0.6035</v>
      </c>
      <c r="C6" s="22" t="n">
        <v>5.1044</v>
      </c>
      <c r="D6" s="23" t="n">
        <v>0.98155</v>
      </c>
      <c r="E6" s="24" t="n">
        <v>298</v>
      </c>
      <c r="F6" s="25" t="n">
        <v>123.3</v>
      </c>
      <c r="G6" s="22" t="n">
        <v>16.26</v>
      </c>
      <c r="H6" s="20" t="inlineStr">
        <is>
          <t>Kilitli fay eğilimi</t>
        </is>
      </c>
    </row>
    <row r="7">
      <c r="A7" s="19" t="inlineStr">
        <is>
          <t>Romania</t>
        </is>
      </c>
      <c r="B7" s="14" t="n">
        <v>0.6046</v>
      </c>
      <c r="C7" s="15" t="n">
        <v>4.7962</v>
      </c>
      <c r="D7" s="16" t="n">
        <v>0.98226</v>
      </c>
      <c r="E7" s="26" t="n">
        <v>162</v>
      </c>
      <c r="F7" s="18" t="n">
        <v>117.8</v>
      </c>
      <c r="G7" s="15" t="n">
        <v>32.17</v>
      </c>
      <c r="H7" s="19" t="inlineStr">
        <is>
          <t>Kilitli fay eğilimi</t>
        </is>
      </c>
    </row>
    <row r="8">
      <c r="A8" s="20" t="inlineStr">
        <is>
          <t>Brazil</t>
        </is>
      </c>
      <c r="B8" s="21" t="n">
        <v>0.64</v>
      </c>
      <c r="C8" s="22" t="n">
        <v>5.1115</v>
      </c>
      <c r="D8" s="23" t="n">
        <v>0.9276</v>
      </c>
      <c r="E8" s="24" t="n">
        <v>121</v>
      </c>
      <c r="F8" s="25" t="n">
        <v>114.6</v>
      </c>
      <c r="G8" s="22" t="n">
        <v>26.76</v>
      </c>
      <c r="H8" s="20" t="inlineStr">
        <is>
          <t>Kilitli fay eğilimi</t>
        </is>
      </c>
    </row>
    <row r="9">
      <c r="A9" s="19" t="inlineStr">
        <is>
          <t>Turkmenistan</t>
        </is>
      </c>
      <c r="B9" s="14" t="n">
        <v>0.6633</v>
      </c>
      <c r="C9" s="15" t="n">
        <v>5.0182</v>
      </c>
      <c r="D9" s="16" t="n">
        <v>0.93959</v>
      </c>
      <c r="E9" s="26" t="n">
        <v>141</v>
      </c>
      <c r="F9" s="18" t="n">
        <v>97.90000000000001</v>
      </c>
      <c r="G9" s="15" t="n">
        <v>41.26</v>
      </c>
      <c r="H9" s="19" t="inlineStr">
        <is>
          <t>Kilitli fay eğilimi</t>
        </is>
      </c>
    </row>
    <row r="10">
      <c r="A10" s="20" t="inlineStr">
        <is>
          <t>Costa Rica</t>
        </is>
      </c>
      <c r="B10" s="21" t="n">
        <v>0.6685</v>
      </c>
      <c r="C10" s="22" t="n">
        <v>5.5724</v>
      </c>
      <c r="D10" s="23" t="n">
        <v>0.99241</v>
      </c>
      <c r="E10" s="24" t="n">
        <v>435</v>
      </c>
      <c r="F10" s="25" t="n">
        <v>126.2</v>
      </c>
      <c r="G10" s="22" t="n">
        <v>16.14</v>
      </c>
      <c r="H10" s="20" t="inlineStr">
        <is>
          <t>Kilitli fay eğilimi</t>
        </is>
      </c>
    </row>
    <row r="11">
      <c r="A11" s="19" t="inlineStr">
        <is>
          <t>Mexico</t>
        </is>
      </c>
      <c r="B11" s="14" t="n">
        <v>0.7087</v>
      </c>
      <c r="C11" s="15" t="n">
        <v>6.4677</v>
      </c>
      <c r="D11" s="16" t="n">
        <v>0.98578</v>
      </c>
      <c r="E11" s="17" t="n">
        <v>1934</v>
      </c>
      <c r="F11" s="18" t="n">
        <v>126.6</v>
      </c>
      <c r="G11" s="15" t="n">
        <v>3.94</v>
      </c>
      <c r="H11" s="19" t="inlineStr">
        <is>
          <t>Kilitli fay eğilimi</t>
        </is>
      </c>
    </row>
    <row r="12">
      <c r="A12" s="20" t="inlineStr">
        <is>
          <t>Taiwan</t>
        </is>
      </c>
      <c r="B12" s="21" t="n">
        <v>0.7179</v>
      </c>
      <c r="C12" s="22" t="n">
        <v>6.063</v>
      </c>
      <c r="D12" s="23" t="n">
        <v>0.97193</v>
      </c>
      <c r="E12" s="24" t="n">
        <v>594</v>
      </c>
      <c r="F12" s="25" t="n">
        <v>120.4</v>
      </c>
      <c r="G12" s="22" t="n">
        <v>11.03</v>
      </c>
      <c r="H12" s="20" t="inlineStr">
        <is>
          <t>Kilitli fay eğilimi</t>
        </is>
      </c>
    </row>
    <row r="13">
      <c r="A13" s="19" t="inlineStr">
        <is>
          <t>Canada</t>
        </is>
      </c>
      <c r="B13" s="14" t="n">
        <v>0.7353</v>
      </c>
      <c r="C13" s="15" t="n">
        <v>5.7047</v>
      </c>
      <c r="D13" s="16" t="n">
        <v>0.9917</v>
      </c>
      <c r="E13" s="26" t="n">
        <v>273</v>
      </c>
      <c r="F13" s="18" t="n">
        <v>125</v>
      </c>
      <c r="G13" s="15" t="n">
        <v>34.58</v>
      </c>
      <c r="H13" s="19" t="inlineStr">
        <is>
          <t>Kilitli fay eğilimi</t>
        </is>
      </c>
    </row>
    <row r="14">
      <c r="A14" s="20" t="inlineStr">
        <is>
          <t>El Salvador</t>
        </is>
      </c>
      <c r="B14" s="21" t="n">
        <v>0.7368</v>
      </c>
      <c r="C14" s="22" t="n">
        <v>5.387</v>
      </c>
      <c r="D14" s="23" t="n">
        <v>0.97216</v>
      </c>
      <c r="E14" s="24" t="n">
        <v>136</v>
      </c>
      <c r="F14" s="25" t="n">
        <v>110.4</v>
      </c>
      <c r="G14" s="22" t="n">
        <v>65.09999999999999</v>
      </c>
      <c r="H14" s="20" t="inlineStr">
        <is>
          <t>Kilitli fay eğilimi</t>
        </is>
      </c>
    </row>
    <row r="15">
      <c r="A15" s="19" t="inlineStr">
        <is>
          <t>Ecuador</t>
        </is>
      </c>
      <c r="B15" s="14" t="n">
        <v>0.739</v>
      </c>
      <c r="C15" s="15" t="n">
        <v>6.1573</v>
      </c>
      <c r="D15" s="16" t="n">
        <v>0.98714</v>
      </c>
      <c r="E15" s="26" t="n">
        <v>794</v>
      </c>
      <c r="F15" s="18" t="n">
        <v>120.3</v>
      </c>
      <c r="G15" s="15" t="n">
        <v>12.47</v>
      </c>
      <c r="H15" s="19" t="inlineStr">
        <is>
          <t>Kilitli fay eğilimi</t>
        </is>
      </c>
    </row>
    <row r="16">
      <c r="A16" s="20" t="inlineStr">
        <is>
          <t>Nepal</t>
        </is>
      </c>
      <c r="B16" s="21" t="n">
        <v>0.7399</v>
      </c>
      <c r="C16" s="22" t="n">
        <v>5.8289</v>
      </c>
      <c r="D16" s="23" t="n">
        <v>0.98947</v>
      </c>
      <c r="E16" s="24" t="n">
        <v>399</v>
      </c>
      <c r="F16" s="25" t="n">
        <v>113.5</v>
      </c>
      <c r="G16" s="22" t="n">
        <v>25.43</v>
      </c>
      <c r="H16" s="20" t="inlineStr">
        <is>
          <t>Kilitli fay eğilimi</t>
        </is>
      </c>
    </row>
    <row r="17">
      <c r="A17" s="19" t="inlineStr">
        <is>
          <t>Kyrgyzstan</t>
        </is>
      </c>
      <c r="B17" s="14" t="n">
        <v>0.7592</v>
      </c>
      <c r="C17" s="15" t="n">
        <v>6.0024</v>
      </c>
      <c r="D17" s="16" t="n">
        <v>0.99621</v>
      </c>
      <c r="E17" s="26" t="n">
        <v>481</v>
      </c>
      <c r="F17" s="18" t="n">
        <v>118.9</v>
      </c>
      <c r="G17" s="15" t="n">
        <v>24.38</v>
      </c>
      <c r="H17" s="19" t="inlineStr">
        <is>
          <t>Kilitli fay eğilimi</t>
        </is>
      </c>
    </row>
    <row r="18">
      <c r="A18" s="20" t="inlineStr">
        <is>
          <t>Vanuatu</t>
        </is>
      </c>
      <c r="B18" s="21" t="n">
        <v>0.7668</v>
      </c>
      <c r="C18" s="22" t="n">
        <v>6.0002</v>
      </c>
      <c r="D18" s="23" t="n">
        <v>0.99382</v>
      </c>
      <c r="E18" s="24" t="n">
        <v>412</v>
      </c>
      <c r="F18" s="25" t="n">
        <v>117.4</v>
      </c>
      <c r="G18" s="22" t="n">
        <v>27.35</v>
      </c>
      <c r="H18" s="20" t="inlineStr">
        <is>
          <t>Kilitli fay eğilimi</t>
        </is>
      </c>
    </row>
    <row r="19">
      <c r="A19" s="19" t="inlineStr">
        <is>
          <t>India</t>
        </is>
      </c>
      <c r="B19" s="14" t="n">
        <v>0.7718</v>
      </c>
      <c r="C19" s="15" t="n">
        <v>6.4274</v>
      </c>
      <c r="D19" s="16" t="n">
        <v>0.99227</v>
      </c>
      <c r="E19" s="17" t="n">
        <v>1106</v>
      </c>
      <c r="F19" s="18" t="n">
        <v>121.3</v>
      </c>
      <c r="G19" s="15" t="n">
        <v>11.46</v>
      </c>
      <c r="H19" s="19" t="inlineStr">
        <is>
          <t>Kilitli fay eğilimi</t>
        </is>
      </c>
    </row>
    <row r="20">
      <c r="A20" s="20" t="inlineStr">
        <is>
          <t>Nicaragua</t>
        </is>
      </c>
      <c r="B20" s="21" t="n">
        <v>0.7783</v>
      </c>
      <c r="C20" s="22" t="n">
        <v>5.8998</v>
      </c>
      <c r="D20" s="23" t="n">
        <v>0.99618</v>
      </c>
      <c r="E20" s="24" t="n">
        <v>264</v>
      </c>
      <c r="F20" s="25" t="n">
        <v>105.3</v>
      </c>
      <c r="G20" s="22" t="n">
        <v>37.22</v>
      </c>
      <c r="H20" s="20" t="inlineStr">
        <is>
          <t>Kilitli fay eğilimi</t>
        </is>
      </c>
    </row>
    <row r="21">
      <c r="A21" s="19" t="inlineStr">
        <is>
          <t>Myanmar</t>
        </is>
      </c>
      <c r="B21" s="14" t="n">
        <v>0.7848000000000001</v>
      </c>
      <c r="C21" s="15" t="n">
        <v>6.5895</v>
      </c>
      <c r="D21" s="16" t="n">
        <v>0.99674</v>
      </c>
      <c r="E21" s="17" t="n">
        <v>1322</v>
      </c>
      <c r="F21" s="18" t="n">
        <v>121.5</v>
      </c>
      <c r="G21" s="15" t="n">
        <v>9.75</v>
      </c>
      <c r="H21" s="19" t="inlineStr">
        <is>
          <t>Kilitli fay eğilimi</t>
        </is>
      </c>
    </row>
    <row r="22">
      <c r="A22" s="20" t="inlineStr">
        <is>
          <t>Uzbekistan</t>
        </is>
      </c>
      <c r="B22" s="21" t="n">
        <v>0.8016</v>
      </c>
      <c r="C22" s="22" t="n">
        <v>5.8874</v>
      </c>
      <c r="D22" s="23" t="n">
        <v>0.95862</v>
      </c>
      <c r="E22" s="24" t="n">
        <v>263</v>
      </c>
      <c r="F22" s="25" t="n">
        <v>98.8</v>
      </c>
      <c r="G22" s="22" t="n">
        <v>52.28</v>
      </c>
      <c r="H22" s="20" t="inlineStr">
        <is>
          <t>Kilitli fay eğilimi</t>
        </is>
      </c>
    </row>
    <row r="23">
      <c r="A23" s="19" t="inlineStr">
        <is>
          <t>Chile</t>
        </is>
      </c>
      <c r="B23" s="14" t="n">
        <v>0.8041</v>
      </c>
      <c r="C23" s="15" t="n">
        <v>7.2747</v>
      </c>
      <c r="D23" s="16" t="n">
        <v>0.99539</v>
      </c>
      <c r="E23" s="17" t="n">
        <v>4900</v>
      </c>
      <c r="F23" s="18" t="n">
        <v>120.1</v>
      </c>
      <c r="G23" s="15" t="n">
        <v>2.71</v>
      </c>
      <c r="H23" s="19" t="inlineStr">
        <is>
          <t>Kilitli fay eğilimi</t>
        </is>
      </c>
    </row>
    <row r="24">
      <c r="A24" s="20" t="inlineStr">
        <is>
          <t>Peru</t>
        </is>
      </c>
      <c r="B24" s="21" t="n">
        <v>0.8132</v>
      </c>
      <c r="C24" s="22" t="n">
        <v>7.0968</v>
      </c>
      <c r="D24" s="23" t="n">
        <v>0.99243</v>
      </c>
      <c r="E24" s="24" t="n">
        <v>3150</v>
      </c>
      <c r="F24" s="25" t="n">
        <v>121.3</v>
      </c>
      <c r="G24" s="22" t="n">
        <v>4.78</v>
      </c>
      <c r="H24" s="20" t="inlineStr">
        <is>
          <t>Kilitli fay eğilimi</t>
        </is>
      </c>
    </row>
    <row r="25">
      <c r="A25" s="19" t="inlineStr">
        <is>
          <t>Turkey</t>
        </is>
      </c>
      <c r="B25" s="14" t="n">
        <v>0.8222</v>
      </c>
      <c r="C25" s="15" t="n">
        <v>6.9232</v>
      </c>
      <c r="D25" s="16" t="n">
        <v>0.99541</v>
      </c>
      <c r="E25" s="17" t="n">
        <v>1508</v>
      </c>
      <c r="F25" s="18" t="n">
        <v>121.2</v>
      </c>
      <c r="G25" s="15" t="n">
        <v>8.24</v>
      </c>
      <c r="H25" s="19" t="inlineStr">
        <is>
          <t>Kilitli fay eğilimi</t>
        </is>
      </c>
    </row>
    <row r="26">
      <c r="A26" s="20" t="inlineStr">
        <is>
          <t>Bolivia</t>
        </is>
      </c>
      <c r="B26" s="21" t="n">
        <v>0.8283</v>
      </c>
      <c r="C26" s="22" t="n">
        <v>6.5613</v>
      </c>
      <c r="D26" s="23" t="n">
        <v>0.99634</v>
      </c>
      <c r="E26" s="24" t="n">
        <v>865</v>
      </c>
      <c r="F26" s="25" t="n">
        <v>117.3</v>
      </c>
      <c r="G26" s="22" t="n">
        <v>20.25</v>
      </c>
      <c r="H26" s="20" t="inlineStr">
        <is>
          <t>Kilitli fay eğilimi</t>
        </is>
      </c>
    </row>
    <row r="27">
      <c r="A27" s="19" t="inlineStr">
        <is>
          <t>Dominican Republic</t>
        </is>
      </c>
      <c r="B27" s="14" t="n">
        <v>0.8401999999999999</v>
      </c>
      <c r="C27" s="15" t="n">
        <v>5.9252</v>
      </c>
      <c r="D27" s="16" t="n">
        <v>0.99536</v>
      </c>
      <c r="E27" s="26" t="n">
        <v>147</v>
      </c>
      <c r="F27" s="18" t="n">
        <v>79.2</v>
      </c>
      <c r="G27" s="15" t="n">
        <v>71.61</v>
      </c>
      <c r="H27" s="19" t="inlineStr">
        <is>
          <t>Kilitli fay eğilimi</t>
        </is>
      </c>
    </row>
    <row r="28">
      <c r="A28" s="20" t="inlineStr">
        <is>
          <t>Guatemala</t>
        </is>
      </c>
      <c r="B28" s="21" t="n">
        <v>0.8427</v>
      </c>
      <c r="C28" s="22" t="n">
        <v>6.5868</v>
      </c>
      <c r="D28" s="23" t="n">
        <v>0.99493</v>
      </c>
      <c r="E28" s="24" t="n">
        <v>611</v>
      </c>
      <c r="F28" s="25" t="n">
        <v>124.5</v>
      </c>
      <c r="G28" s="22" t="n">
        <v>25.55</v>
      </c>
      <c r="H28" s="20" t="inlineStr">
        <is>
          <t>Kilitli fay eğilimi</t>
        </is>
      </c>
    </row>
    <row r="29">
      <c r="A29" s="19" t="inlineStr">
        <is>
          <t>Russia</t>
        </is>
      </c>
      <c r="B29" s="14" t="n">
        <v>0.8602</v>
      </c>
      <c r="C29" s="15" t="n">
        <v>7.2291</v>
      </c>
      <c r="D29" s="16" t="n">
        <v>0.99849</v>
      </c>
      <c r="E29" s="17" t="n">
        <v>2258</v>
      </c>
      <c r="F29" s="18" t="n">
        <v>122</v>
      </c>
      <c r="G29" s="15" t="n">
        <v>7.56</v>
      </c>
      <c r="H29" s="19" t="inlineStr">
        <is>
          <t>Küresel ortalamaya yakın</t>
        </is>
      </c>
    </row>
    <row r="30">
      <c r="A30" s="20" t="inlineStr">
        <is>
          <t>Solomon Islands</t>
        </is>
      </c>
      <c r="B30" s="21" t="n">
        <v>0.8675</v>
      </c>
      <c r="C30" s="22" t="n">
        <v>6.5856</v>
      </c>
      <c r="D30" s="23" t="n">
        <v>0.9958900000000001</v>
      </c>
      <c r="E30" s="24" t="n">
        <v>452</v>
      </c>
      <c r="F30" s="25" t="n">
        <v>108.2</v>
      </c>
      <c r="G30" s="22" t="n">
        <v>33.19</v>
      </c>
      <c r="H30" s="20" t="inlineStr">
        <is>
          <t>Küresel ortalamaya yakın</t>
        </is>
      </c>
    </row>
    <row r="31">
      <c r="A31" s="19" t="inlineStr">
        <is>
          <t>Venezuela</t>
        </is>
      </c>
      <c r="B31" s="14" t="n">
        <v>0.8683999999999999</v>
      </c>
      <c r="C31" s="15" t="n">
        <v>6.3831</v>
      </c>
      <c r="D31" s="16" t="n">
        <v>0.996</v>
      </c>
      <c r="E31" s="26" t="n">
        <v>319</v>
      </c>
      <c r="F31" s="18" t="n">
        <v>107.1</v>
      </c>
      <c r="G31" s="15" t="n">
        <v>53.14</v>
      </c>
      <c r="H31" s="19" t="inlineStr">
        <is>
          <t>Küresel ortalamaya yakın</t>
        </is>
      </c>
    </row>
    <row r="32">
      <c r="A32" s="20" t="inlineStr">
        <is>
          <t>Afghanistan</t>
        </is>
      </c>
      <c r="B32" s="21" t="n">
        <v>0.8911</v>
      </c>
      <c r="C32" s="22" t="n">
        <v>7.3404</v>
      </c>
      <c r="D32" s="23" t="n">
        <v>0.99576</v>
      </c>
      <c r="E32" s="24" t="n">
        <v>2528</v>
      </c>
      <c r="F32" s="25" t="n">
        <v>123.9</v>
      </c>
      <c r="G32" s="22" t="n">
        <v>9.779999999999999</v>
      </c>
      <c r="H32" s="20" t="inlineStr">
        <is>
          <t>Küresel ortalamaya yakın</t>
        </is>
      </c>
    </row>
    <row r="33">
      <c r="A33" s="19" t="inlineStr">
        <is>
          <t>New Zealand</t>
        </is>
      </c>
      <c r="B33" s="14" t="n">
        <v>0.8921</v>
      </c>
      <c r="C33" s="15" t="n">
        <v>7.0276</v>
      </c>
      <c r="D33" s="16" t="n">
        <v>0.96109</v>
      </c>
      <c r="E33" s="17" t="n">
        <v>942</v>
      </c>
      <c r="F33" s="18" t="n">
        <v>111.9</v>
      </c>
      <c r="G33" s="15" t="n">
        <v>18.44</v>
      </c>
      <c r="H33" s="19" t="inlineStr">
        <is>
          <t>Küresel ortalamaya yakın</t>
        </is>
      </c>
    </row>
    <row r="34">
      <c r="A34" s="20" t="inlineStr">
        <is>
          <t>Pakistan</t>
        </is>
      </c>
      <c r="B34" s="21" t="n">
        <v>0.9061</v>
      </c>
      <c r="C34" s="22" t="n">
        <v>7.1732</v>
      </c>
      <c r="D34" s="23" t="n">
        <v>0.99265</v>
      </c>
      <c r="E34" s="24" t="n">
        <v>1341</v>
      </c>
      <c r="F34" s="25" t="n">
        <v>119.2</v>
      </c>
      <c r="G34" s="22" t="n">
        <v>17.61</v>
      </c>
      <c r="H34" s="20" t="inlineStr">
        <is>
          <t>Küresel ortalamaya yakın</t>
        </is>
      </c>
    </row>
    <row r="35">
      <c r="A35" s="19" t="inlineStr">
        <is>
          <t>Panama</t>
        </is>
      </c>
      <c r="B35" s="14" t="n">
        <v>0.9196</v>
      </c>
      <c r="C35" s="15" t="n">
        <v>6.5034</v>
      </c>
      <c r="D35" s="16" t="n">
        <v>0.99649</v>
      </c>
      <c r="E35" s="26" t="n">
        <v>236</v>
      </c>
      <c r="F35" s="18" t="n">
        <v>101.3</v>
      </c>
      <c r="G35" s="15" t="n">
        <v>86.95999999999999</v>
      </c>
      <c r="H35" s="19" t="inlineStr">
        <is>
          <t>Küresel ortalamaya yakın</t>
        </is>
      </c>
    </row>
    <row r="36">
      <c r="A36" s="20" t="inlineStr">
        <is>
          <t>Japan</t>
        </is>
      </c>
      <c r="B36" s="21" t="n">
        <v>0.9255</v>
      </c>
      <c r="C36" s="22" t="n">
        <v>7.5874</v>
      </c>
      <c r="D36" s="23" t="n">
        <v>0.99847</v>
      </c>
      <c r="E36" s="24" t="n">
        <v>2665</v>
      </c>
      <c r="F36" s="25" t="n">
        <v>126.3</v>
      </c>
      <c r="G36" s="22" t="n">
        <v>9.83</v>
      </c>
      <c r="H36" s="20" t="inlineStr">
        <is>
          <t>Küresel ortalamaya yakın</t>
        </is>
      </c>
    </row>
    <row r="37">
      <c r="A37" s="19" t="inlineStr">
        <is>
          <t>Algeria</t>
        </is>
      </c>
      <c r="B37" s="14" t="n">
        <v>0.9291</v>
      </c>
      <c r="C37" s="15" t="n">
        <v>6.4814</v>
      </c>
      <c r="D37" s="16" t="n">
        <v>0.9938900000000001</v>
      </c>
      <c r="E37" s="26" t="n">
        <v>190</v>
      </c>
      <c r="F37" s="18" t="n">
        <v>117.9</v>
      </c>
      <c r="G37" s="15" t="n">
        <v>124.05</v>
      </c>
      <c r="H37" s="19" t="inlineStr">
        <is>
          <t>Küresel ortalamaya yakın</t>
        </is>
      </c>
    </row>
    <row r="38">
      <c r="A38" s="20" t="inlineStr">
        <is>
          <t>Colombia</t>
        </is>
      </c>
      <c r="B38" s="21" t="n">
        <v>0.9292</v>
      </c>
      <c r="C38" s="22" t="n">
        <v>7.2356</v>
      </c>
      <c r="D38" s="23" t="n">
        <v>0.9841</v>
      </c>
      <c r="E38" s="24" t="n">
        <v>1477</v>
      </c>
      <c r="F38" s="25" t="n">
        <v>119.2</v>
      </c>
      <c r="G38" s="22" t="n">
        <v>22.13</v>
      </c>
      <c r="H38" s="20" t="inlineStr">
        <is>
          <t>Küresel ortalamaya yakın</t>
        </is>
      </c>
    </row>
    <row r="39">
      <c r="A39" s="19" t="inlineStr">
        <is>
          <t>Argentina</t>
        </is>
      </c>
      <c r="B39" s="14" t="n">
        <v>0.9375</v>
      </c>
      <c r="C39" s="15" t="n">
        <v>7.6736</v>
      </c>
      <c r="D39" s="16" t="n">
        <v>0.99858</v>
      </c>
      <c r="E39" s="17" t="n">
        <v>3173</v>
      </c>
      <c r="F39" s="18" t="n">
        <v>113.7</v>
      </c>
      <c r="G39" s="15" t="n">
        <v>8.800000000000001</v>
      </c>
      <c r="H39" s="19" t="inlineStr">
        <is>
          <t>Küresel ortalamaya yakın</t>
        </is>
      </c>
    </row>
    <row r="40">
      <c r="A40" s="20" t="inlineStr">
        <is>
          <t>Democratic Republic of the Congo</t>
        </is>
      </c>
      <c r="B40" s="21" t="n">
        <v>0.9405</v>
      </c>
      <c r="C40" s="22" t="n">
        <v>6.6638</v>
      </c>
      <c r="D40" s="23" t="n">
        <v>0.99657</v>
      </c>
      <c r="E40" s="24" t="n">
        <v>284</v>
      </c>
      <c r="F40" s="25" t="n">
        <v>115.1</v>
      </c>
      <c r="G40" s="22" t="n">
        <v>95.7</v>
      </c>
      <c r="H40" s="20" t="inlineStr">
        <is>
          <t>Küresel ortalamaya yakın</t>
        </is>
      </c>
    </row>
    <row r="41">
      <c r="A41" s="19" t="inlineStr">
        <is>
          <t>United Republic of Tanzania</t>
        </is>
      </c>
      <c r="B41" s="14" t="n">
        <v>0.944</v>
      </c>
      <c r="C41" s="15" t="n">
        <v>6.606</v>
      </c>
      <c r="D41" s="16" t="n">
        <v>0.9879</v>
      </c>
      <c r="E41" s="26" t="n">
        <v>253</v>
      </c>
      <c r="F41" s="18" t="n">
        <v>106.6</v>
      </c>
      <c r="G41" s="15" t="n">
        <v>107.2</v>
      </c>
      <c r="H41" s="19" t="inlineStr">
        <is>
          <t>Küresel ortalamaya yakın</t>
        </is>
      </c>
    </row>
    <row r="42">
      <c r="A42" s="20" t="inlineStr">
        <is>
          <t>Philippines</t>
        </is>
      </c>
      <c r="B42" s="21" t="n">
        <v>0.9462</v>
      </c>
      <c r="C42" s="22" t="n">
        <v>7.73</v>
      </c>
      <c r="D42" s="23" t="n">
        <v>0.9916700000000001</v>
      </c>
      <c r="E42" s="24" t="n">
        <v>2692</v>
      </c>
      <c r="F42" s="25" t="n">
        <v>119.9</v>
      </c>
      <c r="G42" s="22" t="n">
        <v>9.380000000000001</v>
      </c>
      <c r="H42" s="20" t="inlineStr">
        <is>
          <t>Küresel ortalamaya yakın</t>
        </is>
      </c>
    </row>
    <row r="43">
      <c r="A43" s="19" t="inlineStr">
        <is>
          <t>Australia</t>
        </is>
      </c>
      <c r="B43" s="14" t="n">
        <v>0.9577</v>
      </c>
      <c r="C43" s="15" t="n">
        <v>6.6317</v>
      </c>
      <c r="D43" s="16" t="n">
        <v>0.98429</v>
      </c>
      <c r="E43" s="26" t="n">
        <v>198</v>
      </c>
      <c r="F43" s="18" t="n">
        <v>100.4</v>
      </c>
      <c r="G43" s="15" t="n">
        <v>118.63</v>
      </c>
      <c r="H43" s="19" t="inlineStr">
        <is>
          <t>Küresel ortalamaya yakın</t>
        </is>
      </c>
    </row>
    <row r="44">
      <c r="A44" s="20" t="inlineStr">
        <is>
          <t>United States of America</t>
        </is>
      </c>
      <c r="B44" s="21" t="n">
        <v>0.9736</v>
      </c>
      <c r="C44" s="22" t="n">
        <v>8.0609</v>
      </c>
      <c r="D44" s="23" t="n">
        <v>0.98713</v>
      </c>
      <c r="E44" s="24" t="n">
        <v>3781</v>
      </c>
      <c r="F44" s="25" t="n">
        <v>126.3</v>
      </c>
      <c r="G44" s="22" t="n">
        <v>7.18</v>
      </c>
      <c r="H44" s="20" t="inlineStr">
        <is>
          <t>Küresel ortalamaya yakın</t>
        </is>
      </c>
    </row>
    <row r="45">
      <c r="A45" s="19" t="inlineStr">
        <is>
          <t>Papua New Guinea</t>
        </is>
      </c>
      <c r="B45" s="14" t="n">
        <v>0.9881</v>
      </c>
      <c r="C45" s="15" t="n">
        <v>8.3217</v>
      </c>
      <c r="D45" s="16" t="n">
        <v>0.97057</v>
      </c>
      <c r="E45" s="17" t="n">
        <v>5370</v>
      </c>
      <c r="F45" s="18" t="n">
        <v>120</v>
      </c>
      <c r="G45" s="15" t="n">
        <v>4.72</v>
      </c>
      <c r="H45" s="19" t="inlineStr">
        <is>
          <t>Küresel ortalamaya yakın</t>
        </is>
      </c>
    </row>
    <row r="46">
      <c r="A46" s="20" t="inlineStr">
        <is>
          <t>Italy</t>
        </is>
      </c>
      <c r="B46" s="21" t="n">
        <v>0.9953</v>
      </c>
      <c r="C46" s="22" t="n">
        <v>7.2186</v>
      </c>
      <c r="D46" s="23" t="n">
        <v>0.99128</v>
      </c>
      <c r="E46" s="24" t="n">
        <v>459</v>
      </c>
      <c r="F46" s="25" t="n">
        <v>120.9</v>
      </c>
      <c r="G46" s="22" t="n">
        <v>67.72</v>
      </c>
      <c r="H46" s="20" t="inlineStr">
        <is>
          <t>Küresel ortalamaya yakın</t>
        </is>
      </c>
    </row>
    <row r="47">
      <c r="A47" s="19" t="inlineStr">
        <is>
          <t>China</t>
        </is>
      </c>
      <c r="B47" s="14" t="n">
        <v>0.9995000000000001</v>
      </c>
      <c r="C47" s="15" t="n">
        <v>8.439399999999999</v>
      </c>
      <c r="D47" s="16" t="n">
        <v>0.96833</v>
      </c>
      <c r="E47" s="17" t="n">
        <v>6411</v>
      </c>
      <c r="F47" s="18" t="n">
        <v>124</v>
      </c>
      <c r="G47" s="15" t="n">
        <v>4.47</v>
      </c>
      <c r="H47" s="19" t="inlineStr">
        <is>
          <t>Küresel ortalamaya yakın</t>
        </is>
      </c>
    </row>
    <row r="48">
      <c r="A48" s="20" t="inlineStr">
        <is>
          <t>Tajikistan</t>
        </is>
      </c>
      <c r="B48" s="21" t="n">
        <v>1.0056</v>
      </c>
      <c r="C48" s="22" t="n">
        <v>7.608</v>
      </c>
      <c r="D48" s="23" t="n">
        <v>0.9950599999999999</v>
      </c>
      <c r="E48" s="24" t="n">
        <v>1356</v>
      </c>
      <c r="F48" s="25" t="n">
        <v>118.9</v>
      </c>
      <c r="G48" s="22" t="n">
        <v>32.06</v>
      </c>
      <c r="H48" s="20" t="inlineStr">
        <is>
          <t>Küresel ortalamaya yakın</t>
        </is>
      </c>
    </row>
    <row r="49">
      <c r="A49" s="19" t="inlineStr">
        <is>
          <t>Indonesia</t>
        </is>
      </c>
      <c r="B49" s="14" t="n">
        <v>1.0094</v>
      </c>
      <c r="C49" s="15" t="n">
        <v>8.4932</v>
      </c>
      <c r="D49" s="16" t="n">
        <v>0.98355</v>
      </c>
      <c r="E49" s="17" t="n">
        <v>7269</v>
      </c>
      <c r="F49" s="18" t="n">
        <v>126.7</v>
      </c>
      <c r="G49" s="15" t="n">
        <v>4.73</v>
      </c>
      <c r="H49" s="19" t="inlineStr">
        <is>
          <t>Küresel ortalamaya yakın</t>
        </is>
      </c>
    </row>
    <row r="50">
      <c r="A50" s="20" t="inlineStr">
        <is>
          <t>Greece</t>
        </is>
      </c>
      <c r="B50" s="21" t="n">
        <v>1.0432</v>
      </c>
      <c r="C50" s="22" t="n">
        <v>7.7159</v>
      </c>
      <c r="D50" s="23" t="n">
        <v>0.9764</v>
      </c>
      <c r="E50" s="24" t="n">
        <v>751</v>
      </c>
      <c r="F50" s="25" t="n">
        <v>121.4</v>
      </c>
      <c r="G50" s="22" t="n">
        <v>46.83</v>
      </c>
      <c r="H50" s="20" t="inlineStr">
        <is>
          <t>Küresel ortalamaya yakın</t>
        </is>
      </c>
    </row>
    <row r="51">
      <c r="A51" s="19" t="inlineStr">
        <is>
          <t>Iceland</t>
        </is>
      </c>
      <c r="B51" s="14" t="n">
        <v>1.1124</v>
      </c>
      <c r="C51" s="15" t="n">
        <v>7.6436</v>
      </c>
      <c r="D51" s="16" t="n">
        <v>0.99382</v>
      </c>
      <c r="E51" s="26" t="n">
        <v>488</v>
      </c>
      <c r="F51" s="18" t="n">
        <v>114.2</v>
      </c>
      <c r="G51" s="15" t="n">
        <v>158.73</v>
      </c>
      <c r="H51" s="19" t="inlineStr">
        <is>
          <t>Volkanik / gerilmeli</t>
        </is>
      </c>
    </row>
    <row r="52">
      <c r="A52" s="20" t="inlineStr">
        <is>
          <t>Iran</t>
        </is>
      </c>
      <c r="B52" s="21" t="n">
        <v>1.1134</v>
      </c>
      <c r="C52" s="22" t="n">
        <v>8.6534</v>
      </c>
      <c r="D52" s="23" t="n">
        <v>0.98038</v>
      </c>
      <c r="E52" s="24" t="n">
        <v>3427</v>
      </c>
      <c r="F52" s="25" t="n">
        <v>119.4</v>
      </c>
      <c r="G52" s="22" t="n">
        <v>16.5</v>
      </c>
      <c r="H52" s="20" t="inlineStr">
        <is>
          <t>Volkanik / gerilmeli</t>
        </is>
      </c>
    </row>
    <row r="53">
      <c r="A53" s="19" t="inlineStr">
        <is>
          <t>Albania</t>
        </is>
      </c>
      <c r="B53" s="14" t="n">
        <v>1.1233</v>
      </c>
      <c r="C53" s="15" t="n">
        <v>7.5363</v>
      </c>
      <c r="D53" s="16" t="n">
        <v>0.95199</v>
      </c>
      <c r="E53" s="26" t="n">
        <v>200</v>
      </c>
      <c r="F53" s="18" t="n">
        <v>121.2</v>
      </c>
      <c r="G53" s="15" t="n">
        <v>257.12</v>
      </c>
      <c r="H53" s="19" t="inlineStr">
        <is>
          <t>Volkanik / gerilmeli</t>
        </is>
      </c>
    </row>
    <row r="54">
      <c r="A54" s="20" t="inlineStr">
        <is>
          <t>Kazakhstan</t>
        </is>
      </c>
      <c r="B54" s="21" t="n">
        <v>1.156</v>
      </c>
      <c r="C54" s="22" t="n">
        <v>8.0901</v>
      </c>
      <c r="D54" s="23" t="n">
        <v>0.79887</v>
      </c>
      <c r="E54" s="24" t="n">
        <v>358</v>
      </c>
      <c r="F54" s="25" t="n">
        <v>118.3</v>
      </c>
      <c r="G54" s="22" t="n">
        <v>118.85</v>
      </c>
      <c r="H54" s="20" t="inlineStr">
        <is>
          <t>Volkanik / gerilmeli</t>
        </is>
      </c>
    </row>
    <row r="55">
      <c r="A55" s="19" t="inlineStr">
        <is>
          <t>Ethiopia</t>
        </is>
      </c>
      <c r="B55" s="14" t="n">
        <v>1.1861</v>
      </c>
      <c r="C55" s="15" t="n">
        <v>8.0778</v>
      </c>
      <c r="D55" s="16" t="n">
        <v>0.90952</v>
      </c>
      <c r="E55" s="26" t="n">
        <v>406</v>
      </c>
      <c r="F55" s="18" t="n">
        <v>120</v>
      </c>
      <c r="G55" s="15" t="n">
        <v>201.2</v>
      </c>
      <c r="H55" s="19" t="inlineStr">
        <is>
          <t>Volkanik / gerilmeli</t>
        </is>
      </c>
    </row>
    <row r="56">
      <c r="A56" s="20" t="inlineStr">
        <is>
          <t>South Africa</t>
        </is>
      </c>
      <c r="B56" s="21" t="n">
        <v>1.2941</v>
      </c>
      <c r="C56" s="22" t="n">
        <v>8.1838</v>
      </c>
      <c r="D56" s="23" t="n">
        <v>0.99435</v>
      </c>
      <c r="E56" s="24" t="n">
        <v>257</v>
      </c>
      <c r="F56" s="25" t="n">
        <v>113.4</v>
      </c>
      <c r="G56" s="22" t="n">
        <v>850.0700000000001</v>
      </c>
      <c r="H56" s="20" t="inlineStr">
        <is>
          <t>Volkanik / gerilmeli</t>
        </is>
      </c>
    </row>
    <row r="57">
      <c r="A57" s="19" t="inlineStr">
        <is>
          <t>Iraq</t>
        </is>
      </c>
      <c r="B57" s="14" t="n">
        <v>1.43</v>
      </c>
      <c r="C57" s="15" t="n">
        <v>8.6882</v>
      </c>
      <c r="D57" s="16" t="n">
        <v>0.98447</v>
      </c>
      <c r="E57" s="26" t="n">
        <v>147</v>
      </c>
      <c r="F57" s="18" t="n">
        <v>118.6</v>
      </c>
      <c r="G57" s="15" t="n">
        <v>2486.34</v>
      </c>
      <c r="H57" s="19" t="inlineStr">
        <is>
          <t>Volkanik / gerilmeli</t>
        </is>
      </c>
    </row>
    <row r="59">
      <c r="A59" s="27" t="inlineStr">
        <is>
          <t>Sarı hücre: örneklem 800'ün altında, belirsizlik yüksek.</t>
        </is>
      </c>
    </row>
    <row r="60">
      <c r="A60" s="28" t="inlineStr">
        <is>
          <t>Ortalama b</t>
        </is>
      </c>
      <c r="B60" s="29">
        <f>AVERAGE(B6:B57)</f>
        <v/>
      </c>
    </row>
    <row r="61">
      <c r="A61" s="28" t="inlineStr">
        <is>
          <t>Standart sapma</t>
        </is>
      </c>
      <c r="B61" s="29">
        <f>STDEV(B6:B57)</f>
        <v/>
      </c>
    </row>
    <row r="62">
      <c r="A62" s="28" t="inlineStr">
        <is>
          <t>Toplam olay</t>
        </is>
      </c>
      <c r="B62" s="30">
        <f>SUM(E6:E57)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 ht="24" customHeight="1">
      <c r="A1" s="1" t="inlineStr">
        <is>
          <t>Gutenberg-Richter Uyum Eğrisi (Dünya)</t>
        </is>
      </c>
    </row>
    <row r="2">
      <c r="A2" s="2" t="inlineStr">
        <is>
          <t>Gözlenen birikimli sayım ve doğrusal uyum</t>
        </is>
      </c>
    </row>
    <row r="4" ht="30" customHeight="1">
      <c r="A4" s="12" t="inlineStr">
        <is>
          <t>Büyüklük</t>
        </is>
      </c>
      <c r="B4" s="12" t="inlineStr">
        <is>
          <t>log₁₀(N) gözlenen</t>
        </is>
      </c>
      <c r="C4" s="12" t="inlineStr">
        <is>
          <t>log₁₀(N) uyum</t>
        </is>
      </c>
    </row>
    <row r="5">
      <c r="A5" s="18" t="n">
        <v>4.5</v>
      </c>
      <c r="B5" s="14" t="n">
        <v>5.4936</v>
      </c>
      <c r="C5" s="14" t="n">
        <v>5.6315</v>
      </c>
    </row>
    <row r="6">
      <c r="A6" s="25" t="n">
        <v>5</v>
      </c>
      <c r="B6" s="21" t="n">
        <v>5.0307</v>
      </c>
      <c r="C6" s="21" t="n">
        <v>5.1188</v>
      </c>
    </row>
    <row r="7">
      <c r="A7" s="18" t="n">
        <v>5.5</v>
      </c>
      <c r="B7" s="14" t="n">
        <v>4.6047</v>
      </c>
      <c r="C7" s="14" t="n">
        <v>4.6061</v>
      </c>
    </row>
    <row r="8">
      <c r="A8" s="25" t="n">
        <v>6</v>
      </c>
      <c r="B8" s="21" t="n">
        <v>4.1814</v>
      </c>
      <c r="C8" s="21" t="n">
        <v>4.0935</v>
      </c>
    </row>
    <row r="9">
      <c r="A9" s="18" t="n">
        <v>6.5</v>
      </c>
      <c r="B9" s="14" t="n">
        <v>3.6983</v>
      </c>
      <c r="C9" s="14" t="n">
        <v>3.5808</v>
      </c>
    </row>
    <row r="10">
      <c r="A10" s="25" t="n">
        <v>7</v>
      </c>
      <c r="B10" s="21" t="n">
        <v>3.2343</v>
      </c>
      <c r="C10" s="21" t="n">
        <v>3.0681</v>
      </c>
    </row>
    <row r="11">
      <c r="A11" s="18" t="n">
        <v>7.5</v>
      </c>
      <c r="B11" s="14" t="n">
        <v>2.7202</v>
      </c>
      <c r="C11" s="14" t="n">
        <v>2.5554</v>
      </c>
    </row>
    <row r="12">
      <c r="A12" s="25" t="n">
        <v>8</v>
      </c>
      <c r="B12" s="21" t="n">
        <v>2.0334</v>
      </c>
      <c r="C12" s="21" t="n">
        <v>2.0427</v>
      </c>
    </row>
    <row r="13">
      <c r="A13" s="18" t="n">
        <v>8.5</v>
      </c>
      <c r="B13" s="14" t="n">
        <v>1.2304</v>
      </c>
      <c r="C13" s="14" t="n">
        <v>1.5301</v>
      </c>
    </row>
    <row r="15">
      <c r="A15" s="31" t="inlineStr">
        <is>
          <t>b = 1.025   R² = 0.9879   n = 311,622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13" customWidth="1" min="4" max="4"/>
    <col width="9" customWidth="1" min="5" max="5"/>
    <col width="10" customWidth="1" min="6" max="6"/>
    <col width="10" customWidth="1" min="7" max="7"/>
    <col width="11" customWidth="1" min="8" max="8"/>
    <col width="13" customWidth="1" min="9" max="9"/>
    <col width="26" customWidth="1" min="10" max="10"/>
  </cols>
  <sheetData>
    <row r="1" ht="24" customHeight="1">
      <c r="A1" s="1" t="inlineStr">
        <is>
          <t>Fay Hatlarında Göç Analizi</t>
        </is>
      </c>
    </row>
    <row r="2">
      <c r="A2" s="2" t="inlineStr">
        <is>
          <t>Depremler fay eksenine izdüşürülüp zamana göre regresyona sokuldu</t>
        </is>
      </c>
    </row>
    <row r="4" ht="30" customHeight="1">
      <c r="A4" s="12" t="inlineStr">
        <is>
          <t>Fay hattı</t>
        </is>
      </c>
      <c r="B4" s="12" t="inlineStr">
        <is>
          <t>Olay</t>
        </is>
      </c>
      <c r="C4" s="12" t="inlineStr">
        <is>
          <t>M eşik</t>
        </is>
      </c>
      <c r="D4" s="12" t="inlineStr">
        <is>
          <t>Hız (km/yıl)</t>
        </is>
      </c>
      <c r="E4" s="12" t="inlineStr">
        <is>
          <t>Yön</t>
        </is>
      </c>
      <c r="F4" s="12" t="inlineStr">
        <is>
          <t>R²</t>
        </is>
      </c>
      <c r="G4" s="12" t="inlineStr">
        <is>
          <t>r</t>
        </is>
      </c>
      <c r="H4" s="12" t="inlineStr">
        <is>
          <t>p değeri</t>
        </is>
      </c>
      <c r="I4" s="12" t="inlineStr">
        <is>
          <t>Bonferroni</t>
        </is>
      </c>
      <c r="J4" s="12" t="inlineStr">
        <is>
          <t>Sonuç</t>
        </is>
      </c>
    </row>
    <row r="5">
      <c r="A5" s="19" t="inlineStr">
        <is>
          <t>Manila Hendeği</t>
        </is>
      </c>
      <c r="B5" s="17" t="n">
        <v>43</v>
      </c>
      <c r="C5" s="18" t="n">
        <v>6</v>
      </c>
      <c r="D5" s="32" t="n">
        <v>3.34</v>
      </c>
      <c r="E5" s="19" t="inlineStr">
        <is>
          <t>batı</t>
        </is>
      </c>
      <c r="F5" s="14" t="n">
        <v>0.1605</v>
      </c>
      <c r="G5" s="33" t="n">
        <v>0.4006</v>
      </c>
      <c r="H5" s="34" t="n">
        <v>0.0064</v>
      </c>
      <c r="I5" s="35" t="inlineStr">
        <is>
          <t>Geçemedi</t>
        </is>
      </c>
      <c r="J5" s="35" t="inlineStr">
        <is>
          <t>Ham eşiği geçti</t>
        </is>
      </c>
    </row>
    <row r="6">
      <c r="A6" s="19" t="inlineStr">
        <is>
          <t>Orta Amerika Hendeği</t>
        </is>
      </c>
      <c r="B6" s="17" t="n">
        <v>252</v>
      </c>
      <c r="C6" s="18" t="n">
        <v>6</v>
      </c>
      <c r="D6" s="32" t="n">
        <v>-1.4</v>
      </c>
      <c r="E6" s="19" t="inlineStr">
        <is>
          <t>doğu</t>
        </is>
      </c>
      <c r="F6" s="14" t="n">
        <v>0.0161</v>
      </c>
      <c r="G6" s="33" t="n">
        <v>-0.1268</v>
      </c>
      <c r="H6" s="34" t="n">
        <v>0.03299</v>
      </c>
      <c r="I6" s="35" t="inlineStr">
        <is>
          <t>Geçemedi</t>
        </is>
      </c>
      <c r="J6" s="35" t="inlineStr">
        <is>
          <t>Ham eşiği geçti</t>
        </is>
      </c>
    </row>
    <row r="7">
      <c r="A7" s="19" t="inlineStr">
        <is>
          <t>San Andreas</t>
        </is>
      </c>
      <c r="B7" s="17" t="n">
        <v>48</v>
      </c>
      <c r="C7" s="18" t="n">
        <v>6</v>
      </c>
      <c r="D7" s="32" t="n">
        <v>-2.52</v>
      </c>
      <c r="E7" s="19" t="inlineStr">
        <is>
          <t>doğu</t>
        </is>
      </c>
      <c r="F7" s="14" t="n">
        <v>0.05</v>
      </c>
      <c r="G7" s="33" t="n">
        <v>-0.2236</v>
      </c>
      <c r="H7" s="16" t="n">
        <v>0.12038</v>
      </c>
      <c r="I7" s="19" t="inlineStr">
        <is>
          <t>Geçemedi</t>
        </is>
      </c>
      <c r="J7" s="19" t="inlineStr">
        <is>
          <t>Tesadüften ayırt edilemiyor</t>
        </is>
      </c>
    </row>
    <row r="8">
      <c r="A8" s="19" t="inlineStr">
        <is>
          <t>Chaman Fayı</t>
        </is>
      </c>
      <c r="B8" s="17" t="n">
        <v>17</v>
      </c>
      <c r="C8" s="18" t="n">
        <v>6</v>
      </c>
      <c r="D8" s="32" t="n">
        <v>-2.86</v>
      </c>
      <c r="E8" s="19" t="inlineStr">
        <is>
          <t>doğu</t>
        </is>
      </c>
      <c r="F8" s="14" t="n">
        <v>0.139</v>
      </c>
      <c r="G8" s="33" t="n">
        <v>-0.3728</v>
      </c>
      <c r="H8" s="16" t="n">
        <v>0.13797</v>
      </c>
      <c r="I8" s="19" t="inlineStr">
        <is>
          <t>Geçemedi</t>
        </is>
      </c>
      <c r="J8" s="19" t="inlineStr">
        <is>
          <t>Tesadüften ayırt edilemiyor</t>
        </is>
      </c>
    </row>
    <row r="9">
      <c r="A9" s="19" t="inlineStr">
        <is>
          <t>Doğu Anadolu Fayı</t>
        </is>
      </c>
      <c r="B9" s="17" t="n">
        <v>12</v>
      </c>
      <c r="C9" s="18" t="n">
        <v>6</v>
      </c>
      <c r="D9" s="32" t="n">
        <v>1.65</v>
      </c>
      <c r="E9" s="19" t="inlineStr">
        <is>
          <t>batı</t>
        </is>
      </c>
      <c r="F9" s="14" t="n">
        <v>0.169</v>
      </c>
      <c r="G9" s="33" t="n">
        <v>0.4111</v>
      </c>
      <c r="H9" s="16" t="n">
        <v>0.17856</v>
      </c>
      <c r="I9" s="19" t="inlineStr">
        <is>
          <t>Geçemedi</t>
        </is>
      </c>
      <c r="J9" s="19" t="inlineStr">
        <is>
          <t>Tesadüften ayırt edilemiyor</t>
        </is>
      </c>
    </row>
    <row r="10">
      <c r="A10" s="19" t="inlineStr">
        <is>
          <t>Sagaing Fayı</t>
        </is>
      </c>
      <c r="B10" s="17" t="n">
        <v>21</v>
      </c>
      <c r="C10" s="18" t="n">
        <v>6</v>
      </c>
      <c r="D10" s="32" t="n">
        <v>2.24</v>
      </c>
      <c r="E10" s="19" t="inlineStr">
        <is>
          <t>batı</t>
        </is>
      </c>
      <c r="F10" s="14" t="n">
        <v>0.0712</v>
      </c>
      <c r="G10" s="33" t="n">
        <v>0.2668</v>
      </c>
      <c r="H10" s="16" t="n">
        <v>0.23875</v>
      </c>
      <c r="I10" s="19" t="inlineStr">
        <is>
          <t>Geçemedi</t>
        </is>
      </c>
      <c r="J10" s="19" t="inlineStr">
        <is>
          <t>Tesadüften ayırt edilemiyor</t>
        </is>
      </c>
    </row>
    <row r="11">
      <c r="A11" s="19" t="inlineStr">
        <is>
          <t>Denali Fayı</t>
        </is>
      </c>
      <c r="B11" s="17" t="n">
        <v>28</v>
      </c>
      <c r="C11" s="18" t="n">
        <v>5.5</v>
      </c>
      <c r="D11" s="32" t="n">
        <v>-1.16</v>
      </c>
      <c r="E11" s="19" t="inlineStr">
        <is>
          <t>doğu</t>
        </is>
      </c>
      <c r="F11" s="14" t="n">
        <v>0.05</v>
      </c>
      <c r="G11" s="33" t="n">
        <v>-0.2236</v>
      </c>
      <c r="H11" s="16" t="n">
        <v>0.25275</v>
      </c>
      <c r="I11" s="19" t="inlineStr">
        <is>
          <t>Geçemedi</t>
        </is>
      </c>
      <c r="J11" s="19" t="inlineStr">
        <is>
          <t>Tesadüften ayırt edilemiyor</t>
        </is>
      </c>
    </row>
    <row r="12">
      <c r="A12" s="19" t="inlineStr">
        <is>
          <t>Japonya Hendeği</t>
        </is>
      </c>
      <c r="B12" s="17" t="n">
        <v>55</v>
      </c>
      <c r="C12" s="18" t="n">
        <v>7</v>
      </c>
      <c r="D12" s="32" t="n">
        <v>-0.93</v>
      </c>
      <c r="E12" s="19" t="inlineStr">
        <is>
          <t>doğu</t>
        </is>
      </c>
      <c r="F12" s="14" t="n">
        <v>0.0247</v>
      </c>
      <c r="G12" s="33" t="n">
        <v>-0.1573</v>
      </c>
      <c r="H12" s="16" t="n">
        <v>0.25615</v>
      </c>
      <c r="I12" s="19" t="inlineStr">
        <is>
          <t>Geçemedi</t>
        </is>
      </c>
      <c r="J12" s="19" t="inlineStr">
        <is>
          <t>Tesadüften ayırt edilemiyor</t>
        </is>
      </c>
    </row>
    <row r="13">
      <c r="A13" s="19" t="inlineStr">
        <is>
          <t>Himalaya Ana Bindirmesi</t>
        </is>
      </c>
      <c r="B13" s="17" t="n">
        <v>45</v>
      </c>
      <c r="C13" s="18" t="n">
        <v>6</v>
      </c>
      <c r="D13" s="32" t="n">
        <v>-3.6</v>
      </c>
      <c r="E13" s="19" t="inlineStr">
        <is>
          <t>doğu</t>
        </is>
      </c>
      <c r="F13" s="14" t="n">
        <v>0.0257</v>
      </c>
      <c r="G13" s="33" t="n">
        <v>-0.1602</v>
      </c>
      <c r="H13" s="16" t="n">
        <v>0.29574</v>
      </c>
      <c r="I13" s="19" t="inlineStr">
        <is>
          <t>Geçemedi</t>
        </is>
      </c>
      <c r="J13" s="19" t="inlineStr">
        <is>
          <t>Tesadüften ayırt edilemiyor</t>
        </is>
      </c>
    </row>
    <row r="14">
      <c r="A14" s="19" t="inlineStr">
        <is>
          <t>Tonga-Kermadec Hendeği</t>
        </is>
      </c>
      <c r="B14" s="17" t="n">
        <v>107</v>
      </c>
      <c r="C14" s="18" t="n">
        <v>6.5</v>
      </c>
      <c r="D14" s="32" t="n">
        <v>1.93</v>
      </c>
      <c r="E14" s="19" t="inlineStr">
        <is>
          <t>batı</t>
        </is>
      </c>
      <c r="F14" s="14" t="n">
        <v>0.0103</v>
      </c>
      <c r="G14" s="33" t="n">
        <v>0.1015</v>
      </c>
      <c r="H14" s="16" t="n">
        <v>0.30254</v>
      </c>
      <c r="I14" s="19" t="inlineStr">
        <is>
          <t>Geçemedi</t>
        </is>
      </c>
      <c r="J14" s="19" t="inlineStr">
        <is>
          <t>Tesadüften ayırt edilemiyor</t>
        </is>
      </c>
    </row>
    <row r="15">
      <c r="A15" s="19" t="inlineStr">
        <is>
          <t>Peru Hendeği</t>
        </is>
      </c>
      <c r="B15" s="17" t="n">
        <v>39</v>
      </c>
      <c r="C15" s="18" t="n">
        <v>6.5</v>
      </c>
      <c r="D15" s="32" t="n">
        <v>3.09</v>
      </c>
      <c r="E15" s="19" t="inlineStr">
        <is>
          <t>batı</t>
        </is>
      </c>
      <c r="F15" s="14" t="n">
        <v>0.0288</v>
      </c>
      <c r="G15" s="33" t="n">
        <v>0.1698</v>
      </c>
      <c r="H15" s="16" t="n">
        <v>0.30694</v>
      </c>
      <c r="I15" s="19" t="inlineStr">
        <is>
          <t>Geçemedi</t>
        </is>
      </c>
      <c r="J15" s="19" t="inlineStr">
        <is>
          <t>Tesadüften ayırt edilemiyor</t>
        </is>
      </c>
    </row>
    <row r="16">
      <c r="A16" s="19" t="inlineStr">
        <is>
          <t>Kaskadya Dalma-Batması</t>
        </is>
      </c>
      <c r="B16" s="17" t="n">
        <v>80</v>
      </c>
      <c r="C16" s="18" t="n">
        <v>5.5</v>
      </c>
      <c r="D16" s="32" t="n">
        <v>-0.42</v>
      </c>
      <c r="E16" s="19" t="inlineStr">
        <is>
          <t>doğu</t>
        </is>
      </c>
      <c r="F16" s="14" t="n">
        <v>0.0136</v>
      </c>
      <c r="G16" s="33" t="n">
        <v>-0.1166</v>
      </c>
      <c r="H16" s="16" t="n">
        <v>0.31274</v>
      </c>
      <c r="I16" s="19" t="inlineStr">
        <is>
          <t>Geçemedi</t>
        </is>
      </c>
      <c r="J16" s="19" t="inlineStr">
        <is>
          <t>Tesadüften ayırt edilemiyor</t>
        </is>
      </c>
    </row>
    <row r="17">
      <c r="A17" s="19" t="inlineStr">
        <is>
          <t>Aleut Hendeği</t>
        </is>
      </c>
      <c r="B17" s="17" t="n">
        <v>110</v>
      </c>
      <c r="C17" s="18" t="n">
        <v>6.5</v>
      </c>
      <c r="D17" s="32" t="n">
        <v>-1.12</v>
      </c>
      <c r="E17" s="19" t="inlineStr">
        <is>
          <t>doğu</t>
        </is>
      </c>
      <c r="F17" s="14" t="n">
        <v>0.008699999999999999</v>
      </c>
      <c r="G17" s="33" t="n">
        <v>-0.09329999999999999</v>
      </c>
      <c r="H17" s="16" t="n">
        <v>0.33093</v>
      </c>
      <c r="I17" s="19" t="inlineStr">
        <is>
          <t>Geçemedi</t>
        </is>
      </c>
      <c r="J17" s="19" t="inlineStr">
        <is>
          <t>Tesadüften ayırt edilemiyor</t>
        </is>
      </c>
    </row>
    <row r="18">
      <c r="A18" s="19" t="inlineStr">
        <is>
          <t>Helen Yayı</t>
        </is>
      </c>
      <c r="B18" s="17" t="n">
        <v>151</v>
      </c>
      <c r="C18" s="18" t="n">
        <v>5.5</v>
      </c>
      <c r="D18" s="32" t="n">
        <v>-0.53</v>
      </c>
      <c r="E18" s="19" t="inlineStr">
        <is>
          <t>doğu</t>
        </is>
      </c>
      <c r="F18" s="14" t="n">
        <v>0.0063</v>
      </c>
      <c r="G18" s="33" t="n">
        <v>-0.0791</v>
      </c>
      <c r="H18" s="16" t="n">
        <v>0.33873</v>
      </c>
      <c r="I18" s="19" t="inlineStr">
        <is>
          <t>Geçemedi</t>
        </is>
      </c>
      <c r="J18" s="19" t="inlineStr">
        <is>
          <t>Tesadüften ayırt edilemiyor</t>
        </is>
      </c>
    </row>
    <row r="19">
      <c r="A19" s="19" t="inlineStr">
        <is>
          <t>Kuzey Karayip Fayı</t>
        </is>
      </c>
      <c r="B19" s="17" t="n">
        <v>64</v>
      </c>
      <c r="C19" s="18" t="n">
        <v>5.5</v>
      </c>
      <c r="D19" s="32" t="n">
        <v>0.67</v>
      </c>
      <c r="E19" s="19" t="inlineStr">
        <is>
          <t>batı</t>
        </is>
      </c>
      <c r="F19" s="14" t="n">
        <v>0.0134</v>
      </c>
      <c r="G19" s="33" t="n">
        <v>0.1159</v>
      </c>
      <c r="H19" s="16" t="n">
        <v>0.35473</v>
      </c>
      <c r="I19" s="19" t="inlineStr">
        <is>
          <t>Geçemedi</t>
        </is>
      </c>
      <c r="J19" s="19" t="inlineStr">
        <is>
          <t>Tesadüften ayırt edilemiyor</t>
        </is>
      </c>
    </row>
    <row r="20">
      <c r="A20" s="19" t="inlineStr">
        <is>
          <t>Kuzey Anadolu Fayı</t>
        </is>
      </c>
      <c r="B20" s="17" t="n">
        <v>12</v>
      </c>
      <c r="C20" s="18" t="n">
        <v>6.7</v>
      </c>
      <c r="D20" s="32" t="n">
        <v>3.86</v>
      </c>
      <c r="E20" s="19" t="inlineStr">
        <is>
          <t>batı</t>
        </is>
      </c>
      <c r="F20" s="14" t="n">
        <v>0.0517</v>
      </c>
      <c r="G20" s="33" t="n">
        <v>0.2274</v>
      </c>
      <c r="H20" s="16" t="n">
        <v>0.4827</v>
      </c>
      <c r="I20" s="19" t="inlineStr">
        <is>
          <t>Geçemedi</t>
        </is>
      </c>
      <c r="J20" s="19" t="inlineStr">
        <is>
          <t>Tesadüften ayırt edilemiyor</t>
        </is>
      </c>
    </row>
    <row r="21">
      <c r="A21" s="19" t="inlineStr">
        <is>
          <t>Queen Charlotte Fayı</t>
        </is>
      </c>
      <c r="B21" s="17" t="n">
        <v>49</v>
      </c>
      <c r="C21" s="18" t="n">
        <v>6</v>
      </c>
      <c r="D21" s="32" t="n">
        <v>-0.93</v>
      </c>
      <c r="E21" s="19" t="inlineStr">
        <is>
          <t>doğu</t>
        </is>
      </c>
      <c r="F21" s="14" t="n">
        <v>0.009299999999999999</v>
      </c>
      <c r="G21" s="33" t="n">
        <v>-0.09660000000000001</v>
      </c>
      <c r="H21" s="16" t="n">
        <v>0.5023</v>
      </c>
      <c r="I21" s="19" t="inlineStr">
        <is>
          <t>Geçemedi</t>
        </is>
      </c>
      <c r="J21" s="19" t="inlineStr">
        <is>
          <t>Tesadüften ayırt edilemiyor</t>
        </is>
      </c>
    </row>
    <row r="22">
      <c r="A22" s="19" t="inlineStr">
        <is>
          <t>Ölü Deniz Fayı</t>
        </is>
      </c>
      <c r="B22" s="17" t="n">
        <v>8</v>
      </c>
      <c r="C22" s="18" t="n">
        <v>5.5</v>
      </c>
      <c r="D22" s="32" t="n">
        <v>1.59</v>
      </c>
      <c r="E22" s="19" t="inlineStr">
        <is>
          <t>batı</t>
        </is>
      </c>
      <c r="F22" s="14" t="n">
        <v>0.051</v>
      </c>
      <c r="G22" s="33" t="n">
        <v>0.2259</v>
      </c>
      <c r="H22" s="16" t="n">
        <v>0.5778799999999999</v>
      </c>
      <c r="I22" s="19" t="inlineStr">
        <is>
          <t>Geçemedi</t>
        </is>
      </c>
      <c r="J22" s="19" t="inlineStr">
        <is>
          <t>Tesadüften ayırt edilemiyor</t>
        </is>
      </c>
    </row>
    <row r="23">
      <c r="A23" s="19" t="inlineStr">
        <is>
          <t>Zagros Kuşağı</t>
        </is>
      </c>
      <c r="B23" s="17" t="n">
        <v>36</v>
      </c>
      <c r="C23" s="18" t="n">
        <v>6</v>
      </c>
      <c r="D23" s="32" t="n">
        <v>1.3</v>
      </c>
      <c r="E23" s="19" t="inlineStr">
        <is>
          <t>batı</t>
        </is>
      </c>
      <c r="F23" s="14" t="n">
        <v>0.0071</v>
      </c>
      <c r="G23" s="33" t="n">
        <v>0.08450000000000001</v>
      </c>
      <c r="H23" s="16" t="n">
        <v>0.62527</v>
      </c>
      <c r="I23" s="19" t="inlineStr">
        <is>
          <t>Geçemedi</t>
        </is>
      </c>
      <c r="J23" s="19" t="inlineStr">
        <is>
          <t>Tesadüften ayırt edilemiyor</t>
        </is>
      </c>
    </row>
    <row r="24">
      <c r="A24" s="19" t="inlineStr">
        <is>
          <t>Xianshuihe Fayı</t>
        </is>
      </c>
      <c r="B24" s="17" t="n">
        <v>28</v>
      </c>
      <c r="C24" s="18" t="n">
        <v>5.5</v>
      </c>
      <c r="D24" s="32" t="n">
        <v>0.66</v>
      </c>
      <c r="E24" s="19" t="inlineStr">
        <is>
          <t>batı</t>
        </is>
      </c>
      <c r="F24" s="14" t="n">
        <v>0.0081</v>
      </c>
      <c r="G24" s="33" t="n">
        <v>0.09</v>
      </c>
      <c r="H24" s="16" t="n">
        <v>0.64847</v>
      </c>
      <c r="I24" s="19" t="inlineStr">
        <is>
          <t>Geçemedi</t>
        </is>
      </c>
      <c r="J24" s="19" t="inlineStr">
        <is>
          <t>Tesadüften ayırt edilemiyor</t>
        </is>
      </c>
    </row>
    <row r="25">
      <c r="A25" s="19" t="inlineStr">
        <is>
          <t>Java Hendeği</t>
        </is>
      </c>
      <c r="B25" s="17" t="n">
        <v>14</v>
      </c>
      <c r="C25" s="18" t="n">
        <v>6.5</v>
      </c>
      <c r="D25" s="32" t="n">
        <v>1.29</v>
      </c>
      <c r="E25" s="19" t="inlineStr">
        <is>
          <t>batı</t>
        </is>
      </c>
      <c r="F25" s="14" t="n">
        <v>0.0136</v>
      </c>
      <c r="G25" s="33" t="n">
        <v>0.1167</v>
      </c>
      <c r="H25" s="16" t="n">
        <v>0.6966599999999999</v>
      </c>
      <c r="I25" s="19" t="inlineStr">
        <is>
          <t>Geçemedi</t>
        </is>
      </c>
      <c r="J25" s="19" t="inlineStr">
        <is>
          <t>Tesadüften ayırt edilemiyor</t>
        </is>
      </c>
    </row>
    <row r="26">
      <c r="A26" s="19" t="inlineStr">
        <is>
          <t>Şili Hendeği</t>
        </is>
      </c>
      <c r="B26" s="17" t="n">
        <v>153</v>
      </c>
      <c r="C26" s="18" t="n">
        <v>6.5</v>
      </c>
      <c r="D26" s="32" t="n">
        <v>0.48</v>
      </c>
      <c r="E26" s="19" t="inlineStr">
        <is>
          <t>batı</t>
        </is>
      </c>
      <c r="F26" s="14" t="n">
        <v>0.0005999999999999999</v>
      </c>
      <c r="G26" s="33" t="n">
        <v>0.0253</v>
      </c>
      <c r="H26" s="16" t="n">
        <v>0.75425</v>
      </c>
      <c r="I26" s="19" t="inlineStr">
        <is>
          <t>Geçemedi</t>
        </is>
      </c>
      <c r="J26" s="19" t="inlineStr">
        <is>
          <t>Tesadüften ayırt edilemiyor</t>
        </is>
      </c>
    </row>
    <row r="27">
      <c r="A27" s="19" t="inlineStr">
        <is>
          <t>Filipin Fayı</t>
        </is>
      </c>
      <c r="B27" s="17" t="n">
        <v>71</v>
      </c>
      <c r="C27" s="18" t="n">
        <v>6</v>
      </c>
      <c r="D27" s="32" t="n">
        <v>-0.46</v>
      </c>
      <c r="E27" s="19" t="inlineStr">
        <is>
          <t>doğu</t>
        </is>
      </c>
      <c r="F27" s="14" t="n">
        <v>0.0014</v>
      </c>
      <c r="G27" s="33" t="n">
        <v>-0.0371</v>
      </c>
      <c r="H27" s="16" t="n">
        <v>0.76305</v>
      </c>
      <c r="I27" s="19" t="inlineStr">
        <is>
          <t>Geçemedi</t>
        </is>
      </c>
      <c r="J27" s="19" t="inlineStr">
        <is>
          <t>Tesadüften ayırt edilemiyor</t>
        </is>
      </c>
    </row>
    <row r="28">
      <c r="A28" s="19" t="inlineStr">
        <is>
          <t>Sumatra Fayı</t>
        </is>
      </c>
      <c r="B28" s="17" t="n">
        <v>19</v>
      </c>
      <c r="C28" s="18" t="n">
        <v>6.5</v>
      </c>
      <c r="D28" s="32" t="n">
        <v>1.21</v>
      </c>
      <c r="E28" s="19" t="inlineStr">
        <is>
          <t>batı</t>
        </is>
      </c>
      <c r="F28" s="14" t="n">
        <v>0.0047</v>
      </c>
      <c r="G28" s="33" t="n">
        <v>0.0684</v>
      </c>
      <c r="H28" s="16" t="n">
        <v>0.77984</v>
      </c>
      <c r="I28" s="19" t="inlineStr">
        <is>
          <t>Geçemedi</t>
        </is>
      </c>
      <c r="J28" s="19" t="inlineStr">
        <is>
          <t>Tesadüften ayırt edilemiyor</t>
        </is>
      </c>
    </row>
    <row r="29">
      <c r="A29" s="19" t="inlineStr">
        <is>
          <t>Alp Fayı (Yeni Zelanda)</t>
        </is>
      </c>
      <c r="B29" s="17" t="n">
        <v>75</v>
      </c>
      <c r="C29" s="18" t="n">
        <v>5.5</v>
      </c>
      <c r="D29" s="32" t="n">
        <v>-0.3</v>
      </c>
      <c r="E29" s="19" t="inlineStr">
        <is>
          <t>doğu</t>
        </is>
      </c>
      <c r="F29" s="14" t="n">
        <v>0.0009</v>
      </c>
      <c r="G29" s="33" t="n">
        <v>-0.0306</v>
      </c>
      <c r="H29" s="16" t="n">
        <v>0.78624</v>
      </c>
      <c r="I29" s="19" t="inlineStr">
        <is>
          <t>Geçemedi</t>
        </is>
      </c>
      <c r="J29" s="19" t="inlineStr">
        <is>
          <t>Tesadüften ayırt edilemiyor</t>
        </is>
      </c>
    </row>
    <row r="30">
      <c r="A30" s="19" t="inlineStr">
        <is>
          <t>Altyn Tagh Fayı</t>
        </is>
      </c>
      <c r="B30" s="17" t="n">
        <v>11</v>
      </c>
      <c r="C30" s="18" t="n">
        <v>5.5</v>
      </c>
      <c r="D30" s="32" t="n">
        <v>-0.33</v>
      </c>
      <c r="E30" s="19" t="inlineStr">
        <is>
          <t>doğu</t>
        </is>
      </c>
      <c r="F30" s="14" t="n">
        <v>0.0017</v>
      </c>
      <c r="G30" s="33" t="n">
        <v>-0.0415</v>
      </c>
      <c r="H30" s="16" t="n">
        <v>0.90922</v>
      </c>
      <c r="I30" s="19" t="inlineStr">
        <is>
          <t>Geçemedi</t>
        </is>
      </c>
      <c r="J30" s="19" t="inlineStr">
        <is>
          <t>Tesadüften ayırt edilemiyor</t>
        </is>
      </c>
    </row>
    <row r="31">
      <c r="A31" s="19" t="inlineStr">
        <is>
          <t>Kuril-Kamçatka Hendeği</t>
        </is>
      </c>
      <c r="B31" s="17" t="n">
        <v>222</v>
      </c>
      <c r="C31" s="18" t="n">
        <v>6.5</v>
      </c>
      <c r="D31" s="32" t="n">
        <v>0.12</v>
      </c>
      <c r="E31" s="19" t="inlineStr">
        <is>
          <t>batı</t>
        </is>
      </c>
      <c r="F31" s="14" t="n">
        <v>0</v>
      </c>
      <c r="G31" s="33" t="n">
        <v>0.0066</v>
      </c>
      <c r="H31" s="16" t="n">
        <v>0.9190199999999999</v>
      </c>
      <c r="I31" s="19" t="inlineStr">
        <is>
          <t>Geçemedi</t>
        </is>
      </c>
      <c r="J31" s="19" t="inlineStr">
        <is>
          <t>Tesadüften ayırt edilemiyor</t>
        </is>
      </c>
    </row>
    <row r="33">
      <c r="A33" s="28" t="inlineStr">
        <is>
          <t>Test edilen fay</t>
        </is>
      </c>
      <c r="B33">
        <f>COUNTA(A5:A31)</f>
        <v/>
      </c>
    </row>
    <row r="34">
      <c r="A34" s="28" t="inlineStr">
        <is>
          <t>Ham eşiği geçen (p&lt;0,05)</t>
        </is>
      </c>
      <c r="B34">
        <f>COUNTIF(H5:H31,"&lt;0.05")</f>
        <v/>
      </c>
    </row>
    <row r="35">
      <c r="A35" s="28" t="inlineStr">
        <is>
          <t>Şansla beklenen yanlış pozitif</t>
        </is>
      </c>
      <c r="B35" s="36">
        <f>B33*0.05</f>
        <v/>
      </c>
    </row>
    <row r="36">
      <c r="A36" s="28" t="inlineStr">
        <is>
          <t>Bonferroni sonrası kalan</t>
        </is>
      </c>
      <c r="B36">
        <f>COUNTIF(I5:I31,"Geçti")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1" t="inlineStr">
        <is>
          <t>Katalog Bütünlüğü</t>
        </is>
      </c>
    </row>
    <row r="2">
      <c r="A2" s="2" t="inlineStr">
        <is>
          <t>Onyıllara göre kayıt sayısı — erken dönemdeki düşüklük gerçek değil, tespit eksikliği</t>
        </is>
      </c>
    </row>
    <row r="4" ht="30" customHeight="1">
      <c r="A4" s="12" t="inlineStr">
        <is>
          <t>Onyıl</t>
        </is>
      </c>
      <c r="B4" s="12" t="inlineStr">
        <is>
          <t>Toplam</t>
        </is>
      </c>
      <c r="C4" s="12" t="inlineStr">
        <is>
          <t>M6+</t>
        </is>
      </c>
      <c r="D4" s="12" t="inlineStr">
        <is>
          <t>M7+</t>
        </is>
      </c>
    </row>
    <row r="5">
      <c r="A5" s="19" t="inlineStr">
        <is>
          <t>1900s</t>
        </is>
      </c>
      <c r="B5" s="17" t="n">
        <v>463</v>
      </c>
      <c r="C5" s="17" t="n">
        <v>354</v>
      </c>
      <c r="D5" s="17" t="n">
        <v>155</v>
      </c>
    </row>
    <row r="6">
      <c r="A6" s="20" t="inlineStr">
        <is>
          <t>1910s</t>
        </is>
      </c>
      <c r="B6" s="24" t="n">
        <v>987</v>
      </c>
      <c r="C6" s="24" t="n">
        <v>708</v>
      </c>
      <c r="D6" s="24" t="n">
        <v>146</v>
      </c>
    </row>
    <row r="7">
      <c r="A7" s="19" t="inlineStr">
        <is>
          <t>1920s</t>
        </is>
      </c>
      <c r="B7" s="17" t="n">
        <v>1913</v>
      </c>
      <c r="C7" s="17" t="n">
        <v>1068</v>
      </c>
      <c r="D7" s="17" t="n">
        <v>132</v>
      </c>
    </row>
    <row r="8">
      <c r="A8" s="20" t="inlineStr">
        <is>
          <t>1930s</t>
        </is>
      </c>
      <c r="B8" s="24" t="n">
        <v>2787</v>
      </c>
      <c r="C8" s="24" t="n">
        <v>1189</v>
      </c>
      <c r="D8" s="24" t="n">
        <v>129</v>
      </c>
    </row>
    <row r="9">
      <c r="A9" s="19" t="inlineStr">
        <is>
          <t>1940s</t>
        </is>
      </c>
      <c r="B9" s="17" t="n">
        <v>1690</v>
      </c>
      <c r="C9" s="17" t="n">
        <v>1030</v>
      </c>
      <c r="D9" s="17" t="n">
        <v>130</v>
      </c>
    </row>
    <row r="10">
      <c r="A10" s="20" t="inlineStr">
        <is>
          <t>1950s</t>
        </is>
      </c>
      <c r="B10" s="24" t="n">
        <v>3149</v>
      </c>
      <c r="C10" s="24" t="n">
        <v>1443</v>
      </c>
      <c r="D10" s="24" t="n">
        <v>98</v>
      </c>
    </row>
    <row r="11">
      <c r="A11" s="19" t="inlineStr">
        <is>
          <t>1960s</t>
        </is>
      </c>
      <c r="B11" s="17" t="n">
        <v>4965</v>
      </c>
      <c r="C11" s="17" t="n">
        <v>1425</v>
      </c>
      <c r="D11" s="17" t="n">
        <v>136</v>
      </c>
    </row>
    <row r="12">
      <c r="A12" s="20" t="inlineStr">
        <is>
          <t>1970s</t>
        </is>
      </c>
      <c r="B12" s="24" t="n">
        <v>25844</v>
      </c>
      <c r="C12" s="24" t="n">
        <v>1168</v>
      </c>
      <c r="D12" s="24" t="n">
        <v>127</v>
      </c>
    </row>
    <row r="13">
      <c r="A13" s="19" t="inlineStr">
        <is>
          <t>1980s</t>
        </is>
      </c>
      <c r="B13" s="17" t="n">
        <v>39762</v>
      </c>
      <c r="C13" s="17" t="n">
        <v>1287</v>
      </c>
      <c r="D13" s="17" t="n">
        <v>110</v>
      </c>
    </row>
    <row r="14">
      <c r="A14" s="20" t="inlineStr">
        <is>
          <t>1990s</t>
        </is>
      </c>
      <c r="B14" s="24" t="n">
        <v>43152</v>
      </c>
      <c r="C14" s="24" t="n">
        <v>1536</v>
      </c>
      <c r="D14" s="24" t="n">
        <v>154</v>
      </c>
    </row>
    <row r="15">
      <c r="A15" s="19" t="inlineStr">
        <is>
          <t>2000s</t>
        </is>
      </c>
      <c r="B15" s="17" t="n">
        <v>60552</v>
      </c>
      <c r="C15" s="17" t="n">
        <v>1586</v>
      </c>
      <c r="D15" s="17" t="n">
        <v>143</v>
      </c>
    </row>
    <row r="16">
      <c r="A16" s="20" t="inlineStr">
        <is>
          <t>2010s</t>
        </is>
      </c>
      <c r="B16" s="24" t="n">
        <v>75286</v>
      </c>
      <c r="C16" s="24" t="n">
        <v>1495</v>
      </c>
      <c r="D16" s="24" t="n">
        <v>160</v>
      </c>
    </row>
    <row r="17">
      <c r="A17" s="19" t="inlineStr">
        <is>
          <t>2020s</t>
        </is>
      </c>
      <c r="B17" s="17" t="n">
        <v>51072</v>
      </c>
      <c r="C17" s="17" t="n">
        <v>895</v>
      </c>
      <c r="D17" s="17" t="n">
        <v>95</v>
      </c>
    </row>
    <row r="19">
      <c r="A19" s="37" t="inlineStr">
        <is>
          <t>M7+ sayısı onyıllar boyunca sabit kalır; toplam sayının artışı sismik aktivite artışı değil, sensör ağının genişlemesidir.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4" customHeight="1">
      <c r="A1" s="1" t="inlineStr">
        <is>
          <t>Yöntem ve Varsayımlar</t>
        </is>
      </c>
    </row>
    <row r="4">
      <c r="A4" s="3" t="inlineStr">
        <is>
          <t>Gutenberg-Richter</t>
        </is>
      </c>
      <c r="B4" s="38" t="inlineStr"/>
    </row>
    <row r="5">
      <c r="A5" s="6" t="inlineStr">
        <is>
          <t>Formül</t>
        </is>
      </c>
      <c r="B5" s="39" t="inlineStr">
        <is>
          <t>log₁₀(N) = a − b·M. N, büyüklüğü M ve üstünde olan deprem sayısı.</t>
        </is>
      </c>
    </row>
    <row r="6">
      <c r="A6" s="6" t="inlineStr">
        <is>
          <t>Uygulama</t>
        </is>
      </c>
      <c r="B6" s="39" t="inlineStr">
        <is>
          <t>M4.5–8.5 arası 0,5 birim aralıklarla birikimli sayım, en küçük kareler.</t>
        </is>
      </c>
    </row>
    <row r="7" ht="30" customHeight="1">
      <c r="A7" s="6" t="inlineStr">
        <is>
          <t>Bölge ataması</t>
        </is>
      </c>
      <c r="B7" s="39" t="inlineStr">
        <is>
          <t>Deprem koordinatları ülke poligonlarıyla eşleştirildi; denizdekiler 3 derece içindeki en yakın kıyıya atandı.</t>
        </is>
      </c>
    </row>
    <row r="8">
      <c r="A8" s="6" t="inlineStr">
        <is>
          <t>Eşik</t>
        </is>
      </c>
      <c r="B8" s="39" t="inlineStr">
        <is>
          <t>300 olaydan az kayda sahip bölgeler dışarıda bırakıldı.</t>
        </is>
      </c>
    </row>
    <row r="9">
      <c r="A9" s="6" t="inlineStr"/>
      <c r="B9" s="39" t="inlineStr"/>
    </row>
    <row r="10">
      <c r="A10" s="3" t="inlineStr">
        <is>
          <t>Göç analizi</t>
        </is>
      </c>
      <c r="B10" s="38" t="inlineStr"/>
    </row>
    <row r="11" ht="30" customHeight="1">
      <c r="A11" s="6" t="inlineStr">
        <is>
          <t>İzdüşüm</t>
        </is>
      </c>
      <c r="B11" s="39" t="inlineStr">
        <is>
          <t>Her deprem fay polyline'ı üzerine dik olarak izdüşürüldü; eksenden belirlenen yarı genişlikten uzaktakiler elendi.</t>
        </is>
      </c>
    </row>
    <row r="12" ht="30" customHeight="1">
      <c r="A12" s="6" t="inlineStr">
        <is>
          <t>Regresyon</t>
        </is>
      </c>
      <c r="B12" s="39" t="inlineStr">
        <is>
          <t>Yıl (x) ile fay boyunca mesafe (y) arasında doğrusal uyum. Eğimin kendisi km/yıl cinsinden göç hızıdır.</t>
        </is>
      </c>
    </row>
    <row r="13" ht="30" customHeight="1">
      <c r="A13" s="6" t="inlineStr">
        <is>
          <t>Permütasyon testi</t>
        </is>
      </c>
      <c r="B13" s="39" t="inlineStr">
        <is>
          <t>Depremlerin tarihleri 5.000 kez karıştırıldı. p değeri, karıştırılmış korelasyonun gerçek korelasyondan güçlü çıkma oranıdır.</t>
        </is>
      </c>
    </row>
    <row r="14" ht="30" customHeight="1">
      <c r="A14" s="6" t="inlineStr">
        <is>
          <t>Bonferroni</t>
        </is>
      </c>
      <c r="B14" s="39" t="inlineStr">
        <is>
          <t>27 bağımsız test yapıldığı için eşik 0,05/27 = 0,00185'e çekildi. Düzeltmesiz 0,05 kullanılsaydı, tamamen rastgele veride bile ortalama 1,35 yanlış pozitif beklenirdi.</t>
        </is>
      </c>
    </row>
    <row r="15">
      <c r="A15" s="6" t="inlineStr"/>
      <c r="B15" s="39" t="inlineStr"/>
    </row>
    <row r="16">
      <c r="A16" s="3" t="inlineStr">
        <is>
          <t>Kritik uyarılar</t>
        </is>
      </c>
      <c r="B16" s="38" t="inlineStr"/>
    </row>
    <row r="17" ht="30" customHeight="1">
      <c r="A17" s="6" t="inlineStr">
        <is>
          <t>Büyük örneklem yanılgısı</t>
        </is>
      </c>
      <c r="B17" s="39" t="inlineStr">
        <is>
          <t>n büyüdükçe çok küçük korelasyonlar bile düşük p değeri verir. R² değeri düşükse (örn. 0,016) ilişki pratikte anlamsızdır.</t>
        </is>
      </c>
    </row>
    <row r="18" ht="30" customHeight="1">
      <c r="A18" s="6" t="inlineStr">
        <is>
          <t>Nedensellik</t>
        </is>
      </c>
      <c r="B18" s="39" t="inlineStr">
        <is>
          <t>Zamansal ve mekânsal yakınlık nedensellik göstermez. Zincirleme analizinde gözlenen sayı, o bölgenin temel oranıyla karşılaştırılır.</t>
        </is>
      </c>
    </row>
    <row r="19" ht="30" customHeight="1">
      <c r="A19" s="6" t="inlineStr">
        <is>
          <t>Tahmin</t>
        </is>
      </c>
      <c r="B19" s="39" t="inlineStr">
        <is>
          <t>Bu çalışma deprem tahmini yapmaz. Depremlerin önceden tahmin edilmesi bilimsel olarak mümkün değildir; USGS bunu açıkça belirtir.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2026-09-07T18:32:59Z</dcterms:created>
  <dcterms:modified xmlns:dcterms="http://purl.org/dc/terms/" xmlns:xsi="http://www.w3.org/2001/XMLSchema-instance" xsi:type="dcterms:W3CDTF">2026-09-07T18:32:59Z</dcterms:modified>
</cp:coreProperties>
</file>